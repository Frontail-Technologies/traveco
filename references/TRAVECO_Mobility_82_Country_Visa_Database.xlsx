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nesh\Desktop\VISA REQUIREMENTS WITH FORMS\"/>
    </mc:Choice>
  </mc:AlternateContent>
  <xr:revisionPtr revIDLastSave="0" documentId="13_ncr:1_{66864F51-E2F8-4581-B621-0C1FF10A9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2 Country Master" sheetId="1" r:id="rId1"/>
    <sheet name="Instructions" sheetId="2" r:id="rId2"/>
  </sheets>
  <definedNames>
    <definedName name="_xlnm._FilterDatabase" localSheetId="0" hidden="1">'82 Country Master'!$A$1:$M$101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1" l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74" i="1"/>
  <c r="J93" i="1"/>
  <c r="J94" i="1"/>
  <c r="J72" i="1"/>
  <c r="J63" i="1"/>
  <c r="J64" i="1"/>
  <c r="J65" i="1"/>
  <c r="J66" i="1"/>
  <c r="J67" i="1"/>
  <c r="J68" i="1"/>
  <c r="J69" i="1"/>
  <c r="J70" i="1"/>
  <c r="J52" i="1"/>
  <c r="J41" i="1"/>
  <c r="J37" i="1"/>
  <c r="J32" i="1"/>
  <c r="J2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3" i="1"/>
  <c r="J34" i="1"/>
  <c r="J35" i="1"/>
  <c r="J36" i="1"/>
  <c r="J38" i="1"/>
  <c r="J39" i="1"/>
  <c r="J40" i="1"/>
  <c r="J42" i="1"/>
  <c r="J43" i="1"/>
  <c r="J44" i="1"/>
  <c r="J45" i="1"/>
  <c r="J46" i="1"/>
  <c r="J47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62" i="1"/>
  <c r="J71" i="1"/>
  <c r="J73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<sst xmlns="http://schemas.openxmlformats.org/spreadsheetml/2006/main" count="841" uniqueCount="305">
  <si>
    <t>Sr. No.</t>
  </si>
  <si>
    <t>Country</t>
  </si>
  <si>
    <t>Visa / Entry Mode (Source File)</t>
  </si>
  <si>
    <t>Max Stay (Source File)</t>
  </si>
  <si>
    <t>Passport Validity (Source File)</t>
  </si>
  <si>
    <t>Government / Embassy Fee</t>
  </si>
  <si>
    <t>Application Centre / Biometrics Fee</t>
  </si>
  <si>
    <t>TRAVECO Service Fee</t>
  </si>
  <si>
    <t>Estimated Total</t>
  </si>
  <si>
    <t>Official Processing Time</t>
  </si>
  <si>
    <t>1</t>
  </si>
  <si>
    <t>Armenia</t>
  </si>
  <si>
    <t>eVisa</t>
  </si>
  <si>
    <t>120 days</t>
  </si>
  <si>
    <t>6 months</t>
  </si>
  <si>
    <t>2</t>
  </si>
  <si>
    <t>Azerbaijan</t>
  </si>
  <si>
    <t>30 days</t>
  </si>
  <si>
    <t>3</t>
  </si>
  <si>
    <t>Australia</t>
  </si>
  <si>
    <t>90 days</t>
  </si>
  <si>
    <t>4</t>
  </si>
  <si>
    <t>Bahrain</t>
  </si>
  <si>
    <t>14 days</t>
  </si>
  <si>
    <t>5</t>
  </si>
  <si>
    <t>Benin</t>
  </si>
  <si>
    <t>~30–90 days</t>
  </si>
  <si>
    <t>6</t>
  </si>
  <si>
    <t>Cambodia</t>
  </si>
  <si>
    <t>eVisa / VoA</t>
  </si>
  <si>
    <t>~30 days</t>
  </si>
  <si>
    <t>7</t>
  </si>
  <si>
    <t>Colombia</t>
  </si>
  <si>
    <t>~90 days</t>
  </si>
  <si>
    <t>8</t>
  </si>
  <si>
    <t>Côte d’Ivoire</t>
  </si>
  <si>
    <t>9</t>
  </si>
  <si>
    <t>Djibouti</t>
  </si>
  <si>
    <t>10</t>
  </si>
  <si>
    <t>Ethiopia</t>
  </si>
  <si>
    <t>11</t>
  </si>
  <si>
    <t>Georgia</t>
  </si>
  <si>
    <t>12</t>
  </si>
  <si>
    <t>Hong Kong SAR</t>
  </si>
  <si>
    <t>eVisa / ETA</t>
  </si>
  <si>
    <t>~14 days</t>
  </si>
  <si>
    <t>13</t>
  </si>
  <si>
    <t>Indonesia</t>
  </si>
  <si>
    <t>VoA / eVisa</t>
  </si>
  <si>
    <t>14</t>
  </si>
  <si>
    <t>Iran</t>
  </si>
  <si>
    <t>VoA</t>
  </si>
  <si>
    <t>15</t>
  </si>
  <si>
    <t>Jordan</t>
  </si>
  <si>
    <t>16</t>
  </si>
  <si>
    <t>Kazakhstan</t>
  </si>
  <si>
    <t>eVisa / Visa Free</t>
  </si>
  <si>
    <t>~14–30 days</t>
  </si>
  <si>
    <t>17</t>
  </si>
  <si>
    <t>Kenya</t>
  </si>
  <si>
    <t>18</t>
  </si>
  <si>
    <t>Kyrgyzstan</t>
  </si>
  <si>
    <t>19</t>
  </si>
  <si>
    <t>Laos</t>
  </si>
  <si>
    <t>20</t>
  </si>
  <si>
    <t>Madagascar</t>
  </si>
  <si>
    <t>21</t>
  </si>
  <si>
    <t>Malawi</t>
  </si>
  <si>
    <t>22</t>
  </si>
  <si>
    <t>Malaysia</t>
  </si>
  <si>
    <t>23</t>
  </si>
  <si>
    <t>Mauritius</t>
  </si>
  <si>
    <t>Visa Free</t>
  </si>
  <si>
    <t>24</t>
  </si>
  <si>
    <t>Mozambique</t>
  </si>
  <si>
    <t>25</t>
  </si>
  <si>
    <t>Myanmar</t>
  </si>
  <si>
    <t>~28–30 days</t>
  </si>
  <si>
    <t>26</t>
  </si>
  <si>
    <t>Nepal</t>
  </si>
  <si>
    <t>Unlimited</t>
  </si>
  <si>
    <t>Valid ID</t>
  </si>
  <si>
    <t>27</t>
  </si>
  <si>
    <t>Oman</t>
  </si>
  <si>
    <t>Visa on Arrival (conditional)</t>
  </si>
  <si>
    <t>28</t>
  </si>
  <si>
    <t>Qatar</t>
  </si>
  <si>
    <t>29</t>
  </si>
  <si>
    <t>Rwanda</t>
  </si>
  <si>
    <t>30</t>
  </si>
  <si>
    <t>Saint Lucia</t>
  </si>
  <si>
    <t>~60 days</t>
  </si>
  <si>
    <t>31</t>
  </si>
  <si>
    <t>Saint Vincent &amp; Grenadines</t>
  </si>
  <si>
    <t>32</t>
  </si>
  <si>
    <t>Seychelles</t>
  </si>
  <si>
    <t>33</t>
  </si>
  <si>
    <t>Sri Lanka</t>
  </si>
  <si>
    <t>ETA / VoA / eVisa</t>
  </si>
  <si>
    <t>34</t>
  </si>
  <si>
    <t>Tajikistan</t>
  </si>
  <si>
    <t>35</t>
  </si>
  <si>
    <t>Tanzania</t>
  </si>
  <si>
    <t>36</t>
  </si>
  <si>
    <t>Thailand</t>
  </si>
  <si>
    <t>~15–60 days</t>
  </si>
  <si>
    <t>37</t>
  </si>
  <si>
    <t>Timor-Leste</t>
  </si>
  <si>
    <t>38</t>
  </si>
  <si>
    <t>Tuvalu</t>
  </si>
  <si>
    <t>39</t>
  </si>
  <si>
    <t>United States of America</t>
  </si>
  <si>
    <t>Sticker Visa</t>
  </si>
  <si>
    <t>180 days</t>
  </si>
  <si>
    <t>40</t>
  </si>
  <si>
    <t>Vanuatu</t>
  </si>
  <si>
    <t>41</t>
  </si>
  <si>
    <t>Vietnam</t>
  </si>
  <si>
    <t>42</t>
  </si>
  <si>
    <t>Zimbabwe</t>
  </si>
  <si>
    <t>43</t>
  </si>
  <si>
    <t>India (for foreigners)</t>
  </si>
  <si>
    <t>45</t>
  </si>
  <si>
    <t>Israel</t>
  </si>
  <si>
    <t>46</t>
  </si>
  <si>
    <t>47</t>
  </si>
  <si>
    <t>Mongolia</t>
  </si>
  <si>
    <t>48</t>
  </si>
  <si>
    <t>Uganda</t>
  </si>
  <si>
    <t>49</t>
  </si>
  <si>
    <t>Uzbekistan</t>
  </si>
  <si>
    <t>50</t>
  </si>
  <si>
    <t>Bolivia</t>
  </si>
  <si>
    <t>51</t>
  </si>
  <si>
    <t>Brazil</t>
  </si>
  <si>
    <t>52</t>
  </si>
  <si>
    <t>Türkiye</t>
  </si>
  <si>
    <t>eVisa / eVisa on Arrival (conditional)</t>
  </si>
  <si>
    <t>53</t>
  </si>
  <si>
    <t>54</t>
  </si>
  <si>
    <t>Canada</t>
  </si>
  <si>
    <t>55</t>
  </si>
  <si>
    <t>United Kingdom</t>
  </si>
  <si>
    <t>56</t>
  </si>
  <si>
    <t>South Korea</t>
  </si>
  <si>
    <t>57</t>
  </si>
  <si>
    <t>Chile</t>
  </si>
  <si>
    <t>58</t>
  </si>
  <si>
    <t>Japan</t>
  </si>
  <si>
    <t>15 days</t>
  </si>
  <si>
    <t>59</t>
  </si>
  <si>
    <t>South Africa</t>
  </si>
  <si>
    <t>60</t>
  </si>
  <si>
    <t>Egypt</t>
  </si>
  <si>
    <t>Sticker / eVisa</t>
  </si>
  <si>
    <t>61</t>
  </si>
  <si>
    <t>Philippines</t>
  </si>
  <si>
    <t>62</t>
  </si>
  <si>
    <t>Schengen Countries</t>
  </si>
  <si>
    <t>63</t>
  </si>
  <si>
    <t>France</t>
  </si>
  <si>
    <t>64</t>
  </si>
  <si>
    <t>Germany</t>
  </si>
  <si>
    <t>65</t>
  </si>
  <si>
    <t>Finland</t>
  </si>
  <si>
    <t>66</t>
  </si>
  <si>
    <t>Netherlands</t>
  </si>
  <si>
    <t>67</t>
  </si>
  <si>
    <t>Norway</t>
  </si>
  <si>
    <t>68</t>
  </si>
  <si>
    <t>Denmark</t>
  </si>
  <si>
    <t>69</t>
  </si>
  <si>
    <t>Belgium</t>
  </si>
  <si>
    <t>70</t>
  </si>
  <si>
    <t>Greece</t>
  </si>
  <si>
    <t>71</t>
  </si>
  <si>
    <t>Ireland</t>
  </si>
  <si>
    <t>72</t>
  </si>
  <si>
    <t>Iceland</t>
  </si>
  <si>
    <t>73</t>
  </si>
  <si>
    <t>Argentina</t>
  </si>
  <si>
    <t>eVisa / Sticker (conditional)</t>
  </si>
  <si>
    <t>74</t>
  </si>
  <si>
    <t>Peru</t>
  </si>
  <si>
    <t>75</t>
  </si>
  <si>
    <t>Democratic Republic of the Congo</t>
  </si>
  <si>
    <t>76</t>
  </si>
  <si>
    <t>Taiwan</t>
  </si>
  <si>
    <t>77</t>
  </si>
  <si>
    <t>ETA / eVisa (conditional)</t>
  </si>
  <si>
    <t>78</t>
  </si>
  <si>
    <t>United Arab Emirates (UAE)</t>
  </si>
  <si>
    <t>79</t>
  </si>
  <si>
    <t>New Zealand</t>
  </si>
  <si>
    <t>80</t>
  </si>
  <si>
    <t>Russia</t>
  </si>
  <si>
    <t>81</t>
  </si>
  <si>
    <t>Mexico</t>
  </si>
  <si>
    <t>Sticker / eVisa / VoA (conditional)</t>
  </si>
  <si>
    <t>Cameroon</t>
  </si>
  <si>
    <t>Field</t>
  </si>
  <si>
    <t>Guidance</t>
  </si>
  <si>
    <t>Source basis</t>
  </si>
  <si>
    <t>Country, visa/entry mode, max stay and passport validity are preserved from the supplied PDF.</t>
  </si>
  <si>
    <t>Government fee</t>
  </si>
  <si>
    <t>Verify current fee on the relevant official embassy/immigration authority before publishing.</t>
  </si>
  <si>
    <t>TRAVECO service fee</t>
  </si>
  <si>
    <t>Enter your own professional/service charge separately.</t>
  </si>
  <si>
    <t>Processing time</t>
  </si>
  <si>
    <t>Use the official authority's current indicative processing time; do not present it as guaranteed.</t>
  </si>
  <si>
    <t>Documents</t>
  </si>
  <si>
    <t>Enter the current checklist for the selected nationality and visa category.</t>
  </si>
  <si>
    <t>Official URL</t>
  </si>
  <si>
    <t>Use the official government/embassy/immigration source.</t>
  </si>
  <si>
    <t>Important</t>
  </si>
  <si>
    <t>The supplied PDF does not contain current fees or detailed checklists, so those cells are intentionally blank rather than guessed.</t>
  </si>
  <si>
    <t>-</t>
  </si>
  <si>
    <t xml:space="preserve">CURRENCY </t>
  </si>
  <si>
    <t>4-5 WORKING DAYS</t>
  </si>
  <si>
    <t>44</t>
  </si>
  <si>
    <t>INR</t>
  </si>
  <si>
    <t>5-6 WORKING DAYS</t>
  </si>
  <si>
    <t>15-20 WORKING DAYS</t>
  </si>
  <si>
    <t>4-7 WORKING DAYS</t>
  </si>
  <si>
    <t>3-4 WORKING DAYS</t>
  </si>
  <si>
    <t>25-30 WORKING DAYS</t>
  </si>
  <si>
    <t>2-3 WORKING DAYS</t>
  </si>
  <si>
    <t>ON THE SPOT</t>
  </si>
  <si>
    <t>5-10 WORKING DAYS</t>
  </si>
  <si>
    <t>FREE TILL DECEMBER 2026</t>
  </si>
  <si>
    <t>FREE</t>
  </si>
  <si>
    <t>NIL</t>
  </si>
  <si>
    <t>Visa-free entry</t>
  </si>
  <si>
    <t>VoA / eVisa/ Prior Travel Authorisation (PTA)</t>
  </si>
  <si>
    <t>6-7 WORKING DAYS</t>
  </si>
  <si>
    <t>VoA/ Travel Authorisation (TA)</t>
  </si>
  <si>
    <t>Depends on the selected Standard / Premium / Expedited package</t>
  </si>
  <si>
    <t>WITHIN 24 HOURS</t>
  </si>
  <si>
    <t>10-12 WORKING DAYS</t>
  </si>
  <si>
    <t>eVisa / VoA / Visa Free/ Thailand Digital Arrival Card (TDAC)</t>
  </si>
  <si>
    <t>4-7 WORKING DAYS AFTER APPROVAL</t>
  </si>
  <si>
    <t>3-5 WORKING DAYS</t>
  </si>
  <si>
    <t>7-8 WORKING DAYS</t>
  </si>
  <si>
    <t>Country-specific — the fee varies by nationality</t>
  </si>
  <si>
    <t>5 WORKING DAYS</t>
  </si>
  <si>
    <t>Up to 3 weeks for standard tourist applications in India; Fast Track: approximately 10 working days</t>
  </si>
  <si>
    <t>EXPRESS APPOINTMENT FEE EXTRA CHARGES</t>
  </si>
  <si>
    <t>DD PAYMENT IN EMBASSY ON INTERVIEW BY EMAIL APPOINTMENT</t>
  </si>
  <si>
    <t>5-10 WORKING DAYS AFTER APPROVAL</t>
  </si>
  <si>
    <t>12-15 WORKING DAYS</t>
  </si>
  <si>
    <t>WITHIN 24-48 HOURS</t>
  </si>
  <si>
    <t>9-15 WORKING DAYS</t>
  </si>
  <si>
    <t>PAY AT EMBASSY AT THE TIME OF INTERVIEW</t>
  </si>
  <si>
    <t>10 WORKING DAYS</t>
  </si>
  <si>
    <t>3-15 WORKING DAYS</t>
  </si>
  <si>
    <t>eVisa /ETA</t>
  </si>
  <si>
    <t xml:space="preserve">7-8 WORKING DAYS </t>
  </si>
  <si>
    <t xml:space="preserve">7-10 WORKING DAYS </t>
  </si>
  <si>
    <t xml:space="preserve">APPOINTMENT </t>
  </si>
  <si>
    <t>GRATIS</t>
  </si>
  <si>
    <t>8-10 WORKING DAYS</t>
  </si>
  <si>
    <t>Austria</t>
  </si>
  <si>
    <t>Croatia</t>
  </si>
  <si>
    <t>Czech Republic</t>
  </si>
  <si>
    <t>Estonia</t>
  </si>
  <si>
    <t>Hungary</t>
  </si>
  <si>
    <t>Italy</t>
  </si>
  <si>
    <t>Latvia</t>
  </si>
  <si>
    <t>Liechtenstein</t>
  </si>
  <si>
    <t>Lithuania</t>
  </si>
  <si>
    <t>Luxembourg</t>
  </si>
  <si>
    <t>Malta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</si>
  <si>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</si>
  <si>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</si>
  <si>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</si>
  <si>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</si>
  <si>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</si>
  <si>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</si>
  <si>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</si>
  <si>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</si>
  <si>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STICKER VISA</t>
  </si>
  <si>
    <t>Varies by visa type, nationality and issuing mission;</t>
  </si>
  <si>
    <t>EXPRESS FEE EXTRA</t>
  </si>
  <si>
    <t>5-7 WORKING DAYS</t>
  </si>
  <si>
    <t xml:space="preserve"> </t>
  </si>
  <si>
    <t>FAMILY CATEGORY VISA FEE ARE LOW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</si>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</sst>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6.85546875" style="4" bestFit="1" customWidth="1"/>
    <col min="2" max="2" width="25.7109375" style="4" bestFit="1" customWidth="1"/>
    <col min="3" max="3" width="28.85546875" style="4" bestFit="1" customWidth="1"/>
    <col min="4" max="4" width="16.28515625" style="4" bestFit="1" customWidth="1"/>
    <col min="5" max="5" width="16" style="4" bestFit="1" customWidth="1"/>
    <col min="6" max="6" width="10.5703125" style="4" bestFit="1" customWidth="1"/>
    <col min="7" max="7" width="22" style="4" customWidth="1"/>
    <col min="8" max="8" width="19.140625" style="4" bestFit="1" customWidth="1"/>
    <col min="9" max="9" width="20.140625" style="4" bestFit="1" customWidth="1"/>
    <col min="10" max="10" width="14.85546875" style="4" bestFit="1" customWidth="1"/>
    <col min="11" max="11" width="22.5703125" style="4" bestFit="1" customWidth="1"/>
    <col min="12" max="12" width="41" style="4" bestFit="1" customWidth="1"/>
    <col min="13" max="13" width="43.7109375" style="4" bestFit="1" customWidth="1"/>
    <col min="14" max="16384" width="9.140625" style="4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217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2"/>
    </row>
    <row r="2" spans="1:13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220</v>
      </c>
      <c r="G2" s="5">
        <v>2700</v>
      </c>
      <c r="H2" s="5" t="s">
        <v>216</v>
      </c>
      <c r="I2" s="5">
        <v>1500</v>
      </c>
      <c r="J2" s="5">
        <f t="shared" ref="J2:J33" si="0">SUM(G2:I2)</f>
        <v>4200</v>
      </c>
      <c r="K2" s="5" t="s">
        <v>218</v>
      </c>
      <c r="L2" s="5"/>
      <c r="M2" s="5"/>
    </row>
    <row r="3" spans="1:13" x14ac:dyDescent="0.25">
      <c r="A3" s="5" t="s">
        <v>15</v>
      </c>
      <c r="B3" s="5" t="s">
        <v>16</v>
      </c>
      <c r="C3" s="5" t="s">
        <v>12</v>
      </c>
      <c r="D3" s="5" t="s">
        <v>17</v>
      </c>
      <c r="E3" s="5" t="s">
        <v>14</v>
      </c>
      <c r="F3" s="5" t="s">
        <v>220</v>
      </c>
      <c r="G3" s="5">
        <v>2900</v>
      </c>
      <c r="H3" s="5" t="s">
        <v>216</v>
      </c>
      <c r="I3" s="5">
        <v>1200</v>
      </c>
      <c r="J3" s="5">
        <f t="shared" si="0"/>
        <v>4100</v>
      </c>
      <c r="K3" s="5" t="s">
        <v>221</v>
      </c>
      <c r="L3" s="5"/>
      <c r="M3" s="5"/>
    </row>
    <row r="4" spans="1:13" x14ac:dyDescent="0.25">
      <c r="A4" s="5" t="s">
        <v>18</v>
      </c>
      <c r="B4" s="5" t="s">
        <v>19</v>
      </c>
      <c r="C4" s="5" t="s">
        <v>12</v>
      </c>
      <c r="D4" s="5" t="s">
        <v>20</v>
      </c>
      <c r="E4" s="5" t="s">
        <v>14</v>
      </c>
      <c r="F4" s="5" t="s">
        <v>220</v>
      </c>
      <c r="G4" s="5">
        <v>18800</v>
      </c>
      <c r="H4" s="5" t="s">
        <v>216</v>
      </c>
      <c r="I4" s="5">
        <v>2000</v>
      </c>
      <c r="J4" s="5">
        <f t="shared" si="0"/>
        <v>20800</v>
      </c>
      <c r="K4" s="5" t="s">
        <v>222</v>
      </c>
      <c r="L4" s="5"/>
      <c r="M4" s="5"/>
    </row>
    <row r="5" spans="1:13" x14ac:dyDescent="0.25">
      <c r="A5" s="5" t="s">
        <v>21</v>
      </c>
      <c r="B5" s="5" t="s">
        <v>22</v>
      </c>
      <c r="C5" s="5" t="s">
        <v>12</v>
      </c>
      <c r="D5" s="5" t="s">
        <v>23</v>
      </c>
      <c r="E5" s="5" t="s">
        <v>14</v>
      </c>
      <c r="F5" s="5" t="s">
        <v>220</v>
      </c>
      <c r="G5" s="5">
        <v>1950</v>
      </c>
      <c r="H5" s="5" t="s">
        <v>216</v>
      </c>
      <c r="I5" s="5">
        <v>850</v>
      </c>
      <c r="J5" s="5">
        <f t="shared" si="0"/>
        <v>2800</v>
      </c>
      <c r="K5" s="5" t="s">
        <v>221</v>
      </c>
      <c r="L5" s="5"/>
      <c r="M5" s="5"/>
    </row>
    <row r="6" spans="1:13" x14ac:dyDescent="0.25">
      <c r="A6" s="5" t="s">
        <v>24</v>
      </c>
      <c r="B6" s="5" t="s">
        <v>25</v>
      </c>
      <c r="C6" s="5" t="s">
        <v>12</v>
      </c>
      <c r="D6" s="5" t="s">
        <v>26</v>
      </c>
      <c r="E6" s="5" t="s">
        <v>14</v>
      </c>
      <c r="F6" s="5" t="s">
        <v>220</v>
      </c>
      <c r="G6" s="5">
        <v>5900</v>
      </c>
      <c r="H6" s="5" t="s">
        <v>216</v>
      </c>
      <c r="I6" s="5">
        <v>1500</v>
      </c>
      <c r="J6" s="5">
        <f t="shared" si="0"/>
        <v>7400</v>
      </c>
      <c r="K6" s="5" t="s">
        <v>223</v>
      </c>
      <c r="L6" s="5"/>
      <c r="M6" s="5"/>
    </row>
    <row r="7" spans="1:13" x14ac:dyDescent="0.25">
      <c r="A7" s="5" t="s">
        <v>27</v>
      </c>
      <c r="B7" s="5" t="s">
        <v>28</v>
      </c>
      <c r="C7" s="5" t="s">
        <v>29</v>
      </c>
      <c r="D7" s="5" t="s">
        <v>30</v>
      </c>
      <c r="E7" s="5" t="s">
        <v>14</v>
      </c>
      <c r="F7" s="5" t="s">
        <v>220</v>
      </c>
      <c r="G7" s="5">
        <v>3700</v>
      </c>
      <c r="H7" s="5" t="s">
        <v>216</v>
      </c>
      <c r="I7" s="5">
        <v>1200</v>
      </c>
      <c r="J7" s="5">
        <f t="shared" si="0"/>
        <v>4900</v>
      </c>
      <c r="K7" s="5" t="s">
        <v>224</v>
      </c>
      <c r="L7" s="5"/>
      <c r="M7" s="5"/>
    </row>
    <row r="8" spans="1:13" x14ac:dyDescent="0.25">
      <c r="A8" s="5" t="s">
        <v>31</v>
      </c>
      <c r="B8" s="5" t="s">
        <v>32</v>
      </c>
      <c r="C8" s="5" t="s">
        <v>12</v>
      </c>
      <c r="D8" s="5" t="s">
        <v>33</v>
      </c>
      <c r="E8" s="5" t="s">
        <v>14</v>
      </c>
      <c r="F8" s="5" t="s">
        <v>220</v>
      </c>
      <c r="G8" s="5">
        <v>27840</v>
      </c>
      <c r="H8" s="5">
        <v>5990</v>
      </c>
      <c r="I8" s="5">
        <v>3000</v>
      </c>
      <c r="J8" s="5">
        <f t="shared" si="0"/>
        <v>36830</v>
      </c>
      <c r="K8" s="5" t="s">
        <v>225</v>
      </c>
      <c r="L8" s="5"/>
      <c r="M8" s="5"/>
    </row>
    <row r="9" spans="1:13" x14ac:dyDescent="0.25">
      <c r="A9" s="5" t="s">
        <v>34</v>
      </c>
      <c r="B9" s="5" t="s">
        <v>35</v>
      </c>
      <c r="C9" s="5" t="s">
        <v>12</v>
      </c>
      <c r="D9" s="5" t="s">
        <v>33</v>
      </c>
      <c r="E9" s="5" t="s">
        <v>14</v>
      </c>
      <c r="F9" s="5" t="s">
        <v>220</v>
      </c>
      <c r="G9" s="5">
        <v>8600</v>
      </c>
      <c r="H9" s="5" t="s">
        <v>216</v>
      </c>
      <c r="I9" s="5">
        <v>2100</v>
      </c>
      <c r="J9" s="5">
        <f t="shared" si="0"/>
        <v>10700</v>
      </c>
      <c r="K9" s="5" t="s">
        <v>226</v>
      </c>
      <c r="L9" s="5"/>
      <c r="M9" s="5"/>
    </row>
    <row r="10" spans="1:13" x14ac:dyDescent="0.25">
      <c r="A10" s="5" t="s">
        <v>36</v>
      </c>
      <c r="B10" s="5" t="s">
        <v>37</v>
      </c>
      <c r="C10" s="5" t="s">
        <v>29</v>
      </c>
      <c r="D10" s="5" t="s">
        <v>30</v>
      </c>
      <c r="E10" s="5" t="s">
        <v>14</v>
      </c>
      <c r="F10" s="5" t="s">
        <v>220</v>
      </c>
      <c r="G10" s="5">
        <v>5800</v>
      </c>
      <c r="H10" s="5" t="s">
        <v>216</v>
      </c>
      <c r="I10" s="5">
        <v>1500</v>
      </c>
      <c r="J10" s="5">
        <f t="shared" si="0"/>
        <v>7300</v>
      </c>
      <c r="K10" s="5" t="s">
        <v>224</v>
      </c>
      <c r="L10" s="5"/>
      <c r="M10" s="5"/>
    </row>
    <row r="11" spans="1:13" x14ac:dyDescent="0.25">
      <c r="A11" s="5" t="s">
        <v>38</v>
      </c>
      <c r="B11" s="5" t="s">
        <v>39</v>
      </c>
      <c r="C11" s="5" t="s">
        <v>29</v>
      </c>
      <c r="D11" s="5" t="s">
        <v>30</v>
      </c>
      <c r="E11" s="5" t="s">
        <v>14</v>
      </c>
      <c r="F11" s="5" t="s">
        <v>220</v>
      </c>
      <c r="G11" s="5">
        <v>6100</v>
      </c>
      <c r="H11" s="5" t="s">
        <v>216</v>
      </c>
      <c r="I11" s="5">
        <v>1500</v>
      </c>
      <c r="J11" s="5">
        <f t="shared" si="0"/>
        <v>7600</v>
      </c>
      <c r="K11" s="5" t="s">
        <v>224</v>
      </c>
      <c r="L11" s="5"/>
      <c r="M11" s="5"/>
    </row>
    <row r="12" spans="1:13" x14ac:dyDescent="0.25">
      <c r="A12" s="5" t="s">
        <v>40</v>
      </c>
      <c r="B12" s="5" t="s">
        <v>41</v>
      </c>
      <c r="C12" s="5" t="s">
        <v>12</v>
      </c>
      <c r="D12" s="5" t="s">
        <v>30</v>
      </c>
      <c r="E12" s="5" t="s">
        <v>14</v>
      </c>
      <c r="F12" s="5" t="s">
        <v>220</v>
      </c>
      <c r="G12" s="5">
        <v>1996.86</v>
      </c>
      <c r="H12" s="5">
        <v>1500</v>
      </c>
      <c r="I12" s="5">
        <v>1500</v>
      </c>
      <c r="J12" s="5">
        <f t="shared" si="0"/>
        <v>4996.8599999999997</v>
      </c>
      <c r="K12" s="5" t="s">
        <v>221</v>
      </c>
      <c r="L12" s="5"/>
      <c r="M12" s="5"/>
    </row>
    <row r="13" spans="1:13" x14ac:dyDescent="0.25">
      <c r="A13" s="5" t="s">
        <v>42</v>
      </c>
      <c r="B13" s="5" t="s">
        <v>43</v>
      </c>
      <c r="C13" s="5" t="s">
        <v>44</v>
      </c>
      <c r="D13" s="5" t="s">
        <v>45</v>
      </c>
      <c r="E13" s="5" t="s">
        <v>14</v>
      </c>
      <c r="F13" s="5" t="s">
        <v>220</v>
      </c>
      <c r="G13" s="5" t="s">
        <v>216</v>
      </c>
      <c r="H13" s="5" t="s">
        <v>216</v>
      </c>
      <c r="I13" s="5">
        <v>500</v>
      </c>
      <c r="J13" s="5">
        <f t="shared" si="0"/>
        <v>500</v>
      </c>
      <c r="K13" s="5" t="s">
        <v>227</v>
      </c>
      <c r="L13" s="5"/>
      <c r="M13" s="5"/>
    </row>
    <row r="14" spans="1:13" x14ac:dyDescent="0.25">
      <c r="A14" s="5" t="s">
        <v>46</v>
      </c>
      <c r="B14" s="5" t="s">
        <v>47</v>
      </c>
      <c r="C14" s="5" t="s">
        <v>48</v>
      </c>
      <c r="D14" s="5" t="s">
        <v>30</v>
      </c>
      <c r="E14" s="5" t="s">
        <v>14</v>
      </c>
      <c r="F14" s="5" t="s">
        <v>220</v>
      </c>
      <c r="G14" s="5">
        <v>3100</v>
      </c>
      <c r="H14" s="5" t="s">
        <v>216</v>
      </c>
      <c r="I14" s="5">
        <v>1000</v>
      </c>
      <c r="J14" s="5">
        <f t="shared" si="0"/>
        <v>4100</v>
      </c>
      <c r="K14" s="5" t="s">
        <v>227</v>
      </c>
      <c r="L14" s="5"/>
      <c r="M14" s="5"/>
    </row>
    <row r="15" spans="1:13" x14ac:dyDescent="0.25">
      <c r="A15" s="5" t="s">
        <v>49</v>
      </c>
      <c r="B15" s="5" t="s">
        <v>50</v>
      </c>
      <c r="C15" s="5" t="s">
        <v>51</v>
      </c>
      <c r="D15" s="5" t="s">
        <v>30</v>
      </c>
      <c r="E15" s="5" t="s">
        <v>14</v>
      </c>
      <c r="F15" s="5" t="s">
        <v>220</v>
      </c>
      <c r="G15" s="5">
        <v>1500</v>
      </c>
      <c r="H15" s="5" t="s">
        <v>216</v>
      </c>
      <c r="I15" s="5">
        <v>850</v>
      </c>
      <c r="J15" s="5">
        <f t="shared" si="0"/>
        <v>2350</v>
      </c>
      <c r="K15" s="5" t="s">
        <v>228</v>
      </c>
      <c r="L15" s="5"/>
      <c r="M15" s="5"/>
    </row>
    <row r="16" spans="1:13" x14ac:dyDescent="0.25">
      <c r="A16" s="5" t="s">
        <v>52</v>
      </c>
      <c r="B16" s="5" t="s">
        <v>53</v>
      </c>
      <c r="C16" s="5" t="s">
        <v>51</v>
      </c>
      <c r="D16" s="5" t="s">
        <v>30</v>
      </c>
      <c r="E16" s="5" t="s">
        <v>14</v>
      </c>
      <c r="F16" s="5" t="s">
        <v>220</v>
      </c>
      <c r="G16" s="5">
        <v>5700</v>
      </c>
      <c r="H16" s="5" t="s">
        <v>216</v>
      </c>
      <c r="I16" s="5">
        <v>1200</v>
      </c>
      <c r="J16" s="5">
        <f t="shared" si="0"/>
        <v>6900</v>
      </c>
      <c r="K16" s="5" t="s">
        <v>221</v>
      </c>
      <c r="L16" s="5"/>
      <c r="M16" s="5"/>
    </row>
    <row r="17" spans="1:13" x14ac:dyDescent="0.25">
      <c r="A17" s="5" t="s">
        <v>54</v>
      </c>
      <c r="B17" s="5" t="s">
        <v>55</v>
      </c>
      <c r="C17" s="5" t="s">
        <v>56</v>
      </c>
      <c r="D17" s="5" t="s">
        <v>57</v>
      </c>
      <c r="E17" s="5" t="s">
        <v>14</v>
      </c>
      <c r="F17" s="5" t="s">
        <v>220</v>
      </c>
      <c r="G17" s="5">
        <v>5800</v>
      </c>
      <c r="H17" s="5" t="s">
        <v>216</v>
      </c>
      <c r="I17" s="5">
        <v>1200</v>
      </c>
      <c r="J17" s="5">
        <f t="shared" si="0"/>
        <v>7000</v>
      </c>
      <c r="K17" s="5" t="s">
        <v>221</v>
      </c>
      <c r="L17" s="5"/>
      <c r="M17" s="5"/>
    </row>
    <row r="18" spans="1:13" x14ac:dyDescent="0.25">
      <c r="A18" s="5" t="s">
        <v>58</v>
      </c>
      <c r="B18" s="5" t="s">
        <v>59</v>
      </c>
      <c r="C18" s="5" t="s">
        <v>29</v>
      </c>
      <c r="D18" s="5" t="s">
        <v>33</v>
      </c>
      <c r="E18" s="5" t="s">
        <v>14</v>
      </c>
      <c r="F18" s="5" t="s">
        <v>220</v>
      </c>
      <c r="G18" s="5">
        <v>2950</v>
      </c>
      <c r="H18" s="5" t="s">
        <v>216</v>
      </c>
      <c r="I18" s="5">
        <v>1000</v>
      </c>
      <c r="J18" s="5">
        <f t="shared" si="0"/>
        <v>3950</v>
      </c>
      <c r="K18" s="5" t="s">
        <v>224</v>
      </c>
      <c r="L18" s="5"/>
      <c r="M18" s="5"/>
    </row>
    <row r="19" spans="1:13" x14ac:dyDescent="0.25">
      <c r="A19" s="5" t="s">
        <v>60</v>
      </c>
      <c r="B19" s="5" t="s">
        <v>61</v>
      </c>
      <c r="C19" s="5" t="s">
        <v>12</v>
      </c>
      <c r="D19" s="5" t="s">
        <v>26</v>
      </c>
      <c r="E19" s="5" t="s">
        <v>14</v>
      </c>
      <c r="F19" s="5" t="s">
        <v>220</v>
      </c>
      <c r="G19" s="5">
        <v>4800</v>
      </c>
      <c r="H19" s="5" t="s">
        <v>216</v>
      </c>
      <c r="I19" s="5">
        <v>1200</v>
      </c>
      <c r="J19" s="5">
        <f t="shared" si="0"/>
        <v>6000</v>
      </c>
      <c r="K19" s="5" t="s">
        <v>221</v>
      </c>
      <c r="L19" s="5"/>
      <c r="M19" s="5"/>
    </row>
    <row r="20" spans="1:13" x14ac:dyDescent="0.25">
      <c r="A20" s="5" t="s">
        <v>62</v>
      </c>
      <c r="B20" s="5" t="s">
        <v>63</v>
      </c>
      <c r="C20" s="5" t="s">
        <v>29</v>
      </c>
      <c r="D20" s="5" t="s">
        <v>30</v>
      </c>
      <c r="E20" s="5" t="s">
        <v>14</v>
      </c>
      <c r="F20" s="5" t="s">
        <v>220</v>
      </c>
      <c r="G20" s="5">
        <v>4800</v>
      </c>
      <c r="H20" s="5" t="s">
        <v>216</v>
      </c>
      <c r="I20" s="5">
        <v>1200</v>
      </c>
      <c r="J20" s="5">
        <f t="shared" si="0"/>
        <v>6000</v>
      </c>
      <c r="K20" s="5" t="s">
        <v>224</v>
      </c>
      <c r="L20" s="5"/>
      <c r="M20" s="5"/>
    </row>
    <row r="21" spans="1:13" x14ac:dyDescent="0.25">
      <c r="A21" s="5" t="s">
        <v>64</v>
      </c>
      <c r="B21" s="5" t="s">
        <v>65</v>
      </c>
      <c r="C21" s="5" t="s">
        <v>51</v>
      </c>
      <c r="D21" s="5" t="s">
        <v>33</v>
      </c>
      <c r="E21" s="5" t="s">
        <v>14</v>
      </c>
      <c r="F21" s="5" t="s">
        <v>220</v>
      </c>
      <c r="G21" s="5">
        <v>3700</v>
      </c>
      <c r="H21" s="5" t="s">
        <v>216</v>
      </c>
      <c r="I21" s="5">
        <v>1200</v>
      </c>
      <c r="J21" s="5">
        <f t="shared" si="0"/>
        <v>4900</v>
      </c>
      <c r="K21" s="5" t="s">
        <v>224</v>
      </c>
      <c r="L21" s="5"/>
      <c r="M21" s="5"/>
    </row>
    <row r="22" spans="1:13" x14ac:dyDescent="0.25">
      <c r="A22" s="5" t="s">
        <v>66</v>
      </c>
      <c r="B22" s="5" t="s">
        <v>67</v>
      </c>
      <c r="C22" s="5" t="s">
        <v>51</v>
      </c>
      <c r="D22" s="5" t="s">
        <v>33</v>
      </c>
      <c r="E22" s="5" t="s">
        <v>14</v>
      </c>
      <c r="F22" s="5" t="s">
        <v>220</v>
      </c>
      <c r="G22" s="5">
        <v>4870</v>
      </c>
      <c r="H22" s="5" t="s">
        <v>216</v>
      </c>
      <c r="I22" s="5">
        <v>1500</v>
      </c>
      <c r="J22" s="5">
        <f t="shared" si="0"/>
        <v>6370</v>
      </c>
      <c r="K22" s="5" t="s">
        <v>224</v>
      </c>
      <c r="L22" s="5"/>
      <c r="M22" s="5"/>
    </row>
    <row r="23" spans="1:13" ht="30" x14ac:dyDescent="0.25">
      <c r="A23" s="5" t="s">
        <v>68</v>
      </c>
      <c r="B23" s="5" t="s">
        <v>69</v>
      </c>
      <c r="C23" s="5" t="s">
        <v>56</v>
      </c>
      <c r="D23" s="5" t="s">
        <v>30</v>
      </c>
      <c r="E23" s="5" t="s">
        <v>14</v>
      </c>
      <c r="F23" s="5" t="s">
        <v>220</v>
      </c>
      <c r="G23" s="5" t="s">
        <v>229</v>
      </c>
      <c r="H23" s="5" t="s">
        <v>216</v>
      </c>
      <c r="I23" s="5">
        <v>300</v>
      </c>
      <c r="J23" s="5">
        <f t="shared" si="0"/>
        <v>300</v>
      </c>
      <c r="K23" s="5" t="s">
        <v>227</v>
      </c>
      <c r="L23" s="5"/>
      <c r="M23" s="5"/>
    </row>
    <row r="24" spans="1:13" x14ac:dyDescent="0.25">
      <c r="A24" s="5" t="s">
        <v>70</v>
      </c>
      <c r="B24" s="5" t="s">
        <v>71</v>
      </c>
      <c r="C24" s="5" t="s">
        <v>72</v>
      </c>
      <c r="D24" s="5" t="s">
        <v>33</v>
      </c>
      <c r="E24" s="5" t="s">
        <v>14</v>
      </c>
      <c r="F24" s="5" t="s">
        <v>220</v>
      </c>
      <c r="G24" s="5" t="s">
        <v>230</v>
      </c>
      <c r="H24" s="5" t="s">
        <v>216</v>
      </c>
      <c r="I24" s="5" t="s">
        <v>231</v>
      </c>
      <c r="J24" s="5">
        <f t="shared" si="0"/>
        <v>0</v>
      </c>
      <c r="K24" s="5" t="s">
        <v>216</v>
      </c>
      <c r="L24" s="5"/>
      <c r="M24" s="5"/>
    </row>
    <row r="25" spans="1:13" x14ac:dyDescent="0.25">
      <c r="A25" s="5" t="s">
        <v>73</v>
      </c>
      <c r="B25" s="5" t="s">
        <v>74</v>
      </c>
      <c r="C25" s="5" t="s">
        <v>48</v>
      </c>
      <c r="D25" s="5" t="s">
        <v>30</v>
      </c>
      <c r="E25" s="5" t="s">
        <v>14</v>
      </c>
      <c r="F25" s="5" t="s">
        <v>220</v>
      </c>
      <c r="G25" s="5">
        <v>9700</v>
      </c>
      <c r="H25" s="5" t="s">
        <v>216</v>
      </c>
      <c r="I25" s="5">
        <v>2000</v>
      </c>
      <c r="J25" s="5">
        <f t="shared" si="0"/>
        <v>11700</v>
      </c>
      <c r="K25" s="5" t="s">
        <v>221</v>
      </c>
      <c r="L25" s="5"/>
      <c r="M25" s="5"/>
    </row>
    <row r="26" spans="1:13" x14ac:dyDescent="0.25">
      <c r="A26" s="5" t="s">
        <v>75</v>
      </c>
      <c r="B26" s="5" t="s">
        <v>76</v>
      </c>
      <c r="C26" s="5" t="s">
        <v>48</v>
      </c>
      <c r="D26" s="5" t="s">
        <v>77</v>
      </c>
      <c r="E26" s="5" t="s">
        <v>14</v>
      </c>
      <c r="F26" s="5" t="s">
        <v>220</v>
      </c>
      <c r="G26" s="5">
        <v>4800</v>
      </c>
      <c r="H26" s="5" t="s">
        <v>216</v>
      </c>
      <c r="I26" s="5">
        <v>1500</v>
      </c>
      <c r="J26" s="5">
        <f t="shared" si="0"/>
        <v>6300</v>
      </c>
      <c r="K26" s="5" t="s">
        <v>224</v>
      </c>
      <c r="L26" s="5"/>
      <c r="M26" s="5"/>
    </row>
    <row r="27" spans="1:13" x14ac:dyDescent="0.25">
      <c r="A27" s="5" t="s">
        <v>78</v>
      </c>
      <c r="B27" s="5" t="s">
        <v>79</v>
      </c>
      <c r="C27" s="5" t="s">
        <v>72</v>
      </c>
      <c r="D27" s="5" t="s">
        <v>80</v>
      </c>
      <c r="E27" s="5" t="s">
        <v>81</v>
      </c>
      <c r="F27" s="5" t="s">
        <v>220</v>
      </c>
      <c r="G27" s="5" t="s">
        <v>230</v>
      </c>
      <c r="H27" s="5" t="s">
        <v>216</v>
      </c>
      <c r="I27" s="5" t="s">
        <v>231</v>
      </c>
      <c r="J27" s="5">
        <f t="shared" ref="J27" si="1">SUM(G27:I27)</f>
        <v>0</v>
      </c>
      <c r="K27" s="5" t="s">
        <v>216</v>
      </c>
      <c r="L27" s="5"/>
      <c r="M27" s="5"/>
    </row>
    <row r="28" spans="1:13" x14ac:dyDescent="0.25">
      <c r="A28" s="5" t="s">
        <v>82</v>
      </c>
      <c r="B28" s="5" t="s">
        <v>83</v>
      </c>
      <c r="C28" s="5" t="s">
        <v>84</v>
      </c>
      <c r="D28" s="5" t="s">
        <v>57</v>
      </c>
      <c r="E28" s="5" t="s">
        <v>14</v>
      </c>
      <c r="F28" s="5" t="s">
        <v>220</v>
      </c>
      <c r="G28" s="5">
        <v>5100</v>
      </c>
      <c r="H28" s="5" t="s">
        <v>216</v>
      </c>
      <c r="I28" s="5">
        <v>1500</v>
      </c>
      <c r="J28" s="5">
        <f t="shared" si="0"/>
        <v>6600</v>
      </c>
      <c r="K28" s="5" t="s">
        <v>218</v>
      </c>
      <c r="L28" s="5"/>
      <c r="M28" s="5"/>
    </row>
    <row r="29" spans="1:13" x14ac:dyDescent="0.25">
      <c r="A29" s="5" t="s">
        <v>85</v>
      </c>
      <c r="B29" s="5" t="s">
        <v>86</v>
      </c>
      <c r="C29" s="5" t="s">
        <v>51</v>
      </c>
      <c r="D29" s="5" t="s">
        <v>30</v>
      </c>
      <c r="E29" s="5" t="s">
        <v>14</v>
      </c>
      <c r="F29" s="5" t="s">
        <v>220</v>
      </c>
      <c r="G29" s="5">
        <v>2700</v>
      </c>
      <c r="H29" s="5" t="s">
        <v>216</v>
      </c>
      <c r="I29" s="5">
        <v>1000</v>
      </c>
      <c r="J29" s="5">
        <f t="shared" si="0"/>
        <v>3700</v>
      </c>
      <c r="K29" s="5" t="s">
        <v>224</v>
      </c>
      <c r="L29" s="5"/>
      <c r="M29" s="5"/>
    </row>
    <row r="30" spans="1:13" x14ac:dyDescent="0.25">
      <c r="A30" s="5" t="s">
        <v>87</v>
      </c>
      <c r="B30" s="5" t="s">
        <v>88</v>
      </c>
      <c r="C30" s="5" t="s">
        <v>48</v>
      </c>
      <c r="D30" s="5" t="s">
        <v>30</v>
      </c>
      <c r="E30" s="5" t="s">
        <v>14</v>
      </c>
      <c r="F30" s="5" t="s">
        <v>220</v>
      </c>
      <c r="G30" s="5" t="s">
        <v>232</v>
      </c>
      <c r="H30" s="5" t="s">
        <v>216</v>
      </c>
      <c r="I30" s="5" t="s">
        <v>231</v>
      </c>
      <c r="J30" s="5">
        <f t="shared" si="0"/>
        <v>0</v>
      </c>
      <c r="K30" s="5" t="s">
        <v>216</v>
      </c>
      <c r="L30" s="5"/>
      <c r="M30" s="5"/>
    </row>
    <row r="31" spans="1:13" ht="30" x14ac:dyDescent="0.25">
      <c r="A31" s="5" t="s">
        <v>89</v>
      </c>
      <c r="B31" s="5" t="s">
        <v>90</v>
      </c>
      <c r="C31" s="5" t="s">
        <v>233</v>
      </c>
      <c r="D31" s="5" t="s">
        <v>91</v>
      </c>
      <c r="E31" s="5" t="s">
        <v>14</v>
      </c>
      <c r="F31" s="5" t="s">
        <v>220</v>
      </c>
      <c r="G31" s="5">
        <v>4600</v>
      </c>
      <c r="H31" s="5" t="s">
        <v>216</v>
      </c>
      <c r="I31" s="5">
        <v>1500</v>
      </c>
      <c r="J31" s="5">
        <f t="shared" si="0"/>
        <v>6100</v>
      </c>
      <c r="K31" s="5" t="s">
        <v>234</v>
      </c>
      <c r="L31" s="5"/>
      <c r="M31" s="5"/>
    </row>
    <row r="32" spans="1:13" x14ac:dyDescent="0.25">
      <c r="A32" s="5" t="s">
        <v>92</v>
      </c>
      <c r="B32" s="5" t="s">
        <v>93</v>
      </c>
      <c r="C32" s="5" t="s">
        <v>72</v>
      </c>
      <c r="D32" s="5" t="s">
        <v>30</v>
      </c>
      <c r="E32" s="5" t="s">
        <v>14</v>
      </c>
      <c r="F32" s="5" t="s">
        <v>220</v>
      </c>
      <c r="G32" s="5" t="s">
        <v>232</v>
      </c>
      <c r="H32" s="5" t="s">
        <v>216</v>
      </c>
      <c r="I32" s="5" t="s">
        <v>231</v>
      </c>
      <c r="J32" s="5">
        <f t="shared" ref="J32" si="2">SUM(G32:I32)</f>
        <v>0</v>
      </c>
      <c r="K32" s="5" t="s">
        <v>216</v>
      </c>
      <c r="L32" s="5"/>
      <c r="M32" s="5"/>
    </row>
    <row r="33" spans="1:13" ht="60" x14ac:dyDescent="0.25">
      <c r="A33" s="5" t="s">
        <v>94</v>
      </c>
      <c r="B33" s="5" t="s">
        <v>95</v>
      </c>
      <c r="C33" s="5" t="s">
        <v>235</v>
      </c>
      <c r="D33" s="5" t="s">
        <v>33</v>
      </c>
      <c r="E33" s="5" t="s">
        <v>14</v>
      </c>
      <c r="F33" s="5" t="s">
        <v>220</v>
      </c>
      <c r="G33" s="5">
        <v>1600</v>
      </c>
      <c r="H33" s="5" t="s">
        <v>216</v>
      </c>
      <c r="I33" s="5">
        <v>850</v>
      </c>
      <c r="J33" s="5">
        <f t="shared" si="0"/>
        <v>2450</v>
      </c>
      <c r="K33" s="5" t="s">
        <v>236</v>
      </c>
      <c r="L33" s="5"/>
      <c r="M33" s="5"/>
    </row>
    <row r="34" spans="1:13" x14ac:dyDescent="0.25">
      <c r="A34" s="5" t="s">
        <v>96</v>
      </c>
      <c r="B34" s="5" t="s">
        <v>97</v>
      </c>
      <c r="C34" s="5" t="s">
        <v>98</v>
      </c>
      <c r="D34" s="5" t="s">
        <v>30</v>
      </c>
      <c r="E34" s="5" t="s">
        <v>14</v>
      </c>
      <c r="F34" s="5" t="s">
        <v>220</v>
      </c>
      <c r="G34" s="5">
        <v>3900</v>
      </c>
      <c r="H34" s="5" t="s">
        <v>216</v>
      </c>
      <c r="I34" s="5">
        <v>1000</v>
      </c>
      <c r="J34" s="5">
        <f t="shared" ref="J34:J62" si="3">SUM(G34:I34)</f>
        <v>4900</v>
      </c>
      <c r="K34" s="5" t="s">
        <v>237</v>
      </c>
      <c r="L34" s="5"/>
      <c r="M34" s="5"/>
    </row>
    <row r="35" spans="1:13" x14ac:dyDescent="0.25">
      <c r="A35" s="5" t="s">
        <v>99</v>
      </c>
      <c r="B35" s="5" t="s">
        <v>100</v>
      </c>
      <c r="C35" s="5" t="s">
        <v>48</v>
      </c>
      <c r="D35" s="5" t="s">
        <v>91</v>
      </c>
      <c r="E35" s="5" t="s">
        <v>14</v>
      </c>
      <c r="F35" s="5" t="s">
        <v>220</v>
      </c>
      <c r="G35" s="5">
        <v>4900</v>
      </c>
      <c r="H35" s="5" t="s">
        <v>216</v>
      </c>
      <c r="I35" s="5">
        <v>1200</v>
      </c>
      <c r="J35" s="5">
        <f t="shared" si="3"/>
        <v>6100</v>
      </c>
      <c r="K35" s="5" t="s">
        <v>224</v>
      </c>
      <c r="L35" s="5"/>
      <c r="M35" s="5"/>
    </row>
    <row r="36" spans="1:13" x14ac:dyDescent="0.25">
      <c r="A36" s="5" t="s">
        <v>101</v>
      </c>
      <c r="B36" s="5" t="s">
        <v>102</v>
      </c>
      <c r="C36" s="5" t="s">
        <v>48</v>
      </c>
      <c r="D36" s="5" t="s">
        <v>33</v>
      </c>
      <c r="E36" s="5" t="s">
        <v>14</v>
      </c>
      <c r="F36" s="5" t="s">
        <v>220</v>
      </c>
      <c r="G36" s="5">
        <v>4800</v>
      </c>
      <c r="H36" s="5" t="s">
        <v>216</v>
      </c>
      <c r="I36" s="5">
        <v>1500</v>
      </c>
      <c r="J36" s="5">
        <f t="shared" si="3"/>
        <v>6300</v>
      </c>
      <c r="K36" s="5" t="s">
        <v>238</v>
      </c>
      <c r="L36" s="5"/>
      <c r="M36" s="5"/>
    </row>
    <row r="37" spans="1:13" ht="45" x14ac:dyDescent="0.25">
      <c r="A37" s="5" t="s">
        <v>103</v>
      </c>
      <c r="B37" s="5" t="s">
        <v>104</v>
      </c>
      <c r="C37" s="5" t="s">
        <v>239</v>
      </c>
      <c r="D37" s="5" t="s">
        <v>105</v>
      </c>
      <c r="E37" s="5" t="s">
        <v>14</v>
      </c>
      <c r="F37" s="5" t="s">
        <v>220</v>
      </c>
      <c r="G37" s="5" t="s">
        <v>230</v>
      </c>
      <c r="H37" s="5" t="s">
        <v>216</v>
      </c>
      <c r="I37" s="5" t="s">
        <v>231</v>
      </c>
      <c r="J37" s="5">
        <f t="shared" si="3"/>
        <v>0</v>
      </c>
      <c r="K37" s="5" t="s">
        <v>216</v>
      </c>
      <c r="L37" s="5"/>
      <c r="M37" s="5"/>
    </row>
    <row r="38" spans="1:13" x14ac:dyDescent="0.25">
      <c r="A38" s="5" t="s">
        <v>106</v>
      </c>
      <c r="B38" s="5" t="s">
        <v>107</v>
      </c>
      <c r="C38" s="5" t="s">
        <v>51</v>
      </c>
      <c r="D38" s="5" t="s">
        <v>30</v>
      </c>
      <c r="E38" s="5" t="s">
        <v>14</v>
      </c>
      <c r="F38" s="5" t="s">
        <v>220</v>
      </c>
      <c r="G38" s="5">
        <v>2900</v>
      </c>
      <c r="H38" s="5" t="s">
        <v>216</v>
      </c>
      <c r="I38" s="5">
        <v>1500</v>
      </c>
      <c r="J38" s="5">
        <f t="shared" si="3"/>
        <v>4400</v>
      </c>
      <c r="K38" s="5" t="s">
        <v>228</v>
      </c>
      <c r="L38" s="5"/>
      <c r="M38" s="5"/>
    </row>
    <row r="39" spans="1:13" x14ac:dyDescent="0.25">
      <c r="A39" s="5" t="s">
        <v>108</v>
      </c>
      <c r="B39" s="5" t="s">
        <v>109</v>
      </c>
      <c r="C39" s="5" t="s">
        <v>51</v>
      </c>
      <c r="D39" s="5" t="s">
        <v>30</v>
      </c>
      <c r="E39" s="5" t="s">
        <v>14</v>
      </c>
      <c r="F39" s="5" t="s">
        <v>220</v>
      </c>
      <c r="G39" s="5">
        <v>7000</v>
      </c>
      <c r="H39" s="5" t="s">
        <v>216</v>
      </c>
      <c r="I39" s="5">
        <v>2000</v>
      </c>
      <c r="J39" s="5">
        <f t="shared" si="3"/>
        <v>9000</v>
      </c>
      <c r="K39" s="5" t="s">
        <v>228</v>
      </c>
      <c r="L39" s="5"/>
      <c r="M39" s="5"/>
    </row>
    <row r="40" spans="1:13" ht="45" x14ac:dyDescent="0.25">
      <c r="A40" s="5" t="s">
        <v>110</v>
      </c>
      <c r="B40" s="5" t="s">
        <v>111</v>
      </c>
      <c r="C40" s="5" t="s">
        <v>112</v>
      </c>
      <c r="D40" s="5" t="s">
        <v>113</v>
      </c>
      <c r="E40" s="5" t="s">
        <v>14</v>
      </c>
      <c r="F40" s="5" t="s">
        <v>220</v>
      </c>
      <c r="G40" s="5">
        <v>18130</v>
      </c>
      <c r="H40" s="5" t="s">
        <v>246</v>
      </c>
      <c r="I40" s="5">
        <v>3500</v>
      </c>
      <c r="J40" s="5">
        <f t="shared" si="3"/>
        <v>21630</v>
      </c>
      <c r="K40" s="5" t="s">
        <v>240</v>
      </c>
      <c r="L40" s="5"/>
      <c r="M40" s="5"/>
    </row>
    <row r="41" spans="1:13" x14ac:dyDescent="0.25">
      <c r="A41" s="5" t="s">
        <v>114</v>
      </c>
      <c r="B41" s="5" t="s">
        <v>115</v>
      </c>
      <c r="C41" s="5" t="s">
        <v>51</v>
      </c>
      <c r="D41" s="5" t="s">
        <v>30</v>
      </c>
      <c r="E41" s="5" t="s">
        <v>14</v>
      </c>
      <c r="F41" s="5" t="s">
        <v>220</v>
      </c>
      <c r="G41" s="5" t="s">
        <v>230</v>
      </c>
      <c r="H41" s="5" t="s">
        <v>216</v>
      </c>
      <c r="I41" s="5" t="s">
        <v>231</v>
      </c>
      <c r="J41" s="5">
        <f t="shared" ref="J41" si="4">SUM(G41:I41)</f>
        <v>0</v>
      </c>
      <c r="K41" s="5" t="s">
        <v>216</v>
      </c>
      <c r="L41" s="5"/>
      <c r="M41" s="5"/>
    </row>
    <row r="42" spans="1:13" x14ac:dyDescent="0.25">
      <c r="A42" s="5" t="s">
        <v>116</v>
      </c>
      <c r="B42" s="5" t="s">
        <v>117</v>
      </c>
      <c r="C42" s="5" t="s">
        <v>29</v>
      </c>
      <c r="D42" s="5" t="s">
        <v>30</v>
      </c>
      <c r="E42" s="5" t="s">
        <v>14</v>
      </c>
      <c r="F42" s="5" t="s">
        <v>220</v>
      </c>
      <c r="G42" s="5">
        <v>4900</v>
      </c>
      <c r="H42" s="5" t="s">
        <v>216</v>
      </c>
      <c r="I42" s="5">
        <v>1800</v>
      </c>
      <c r="J42" s="5">
        <f t="shared" si="3"/>
        <v>6700</v>
      </c>
      <c r="K42" s="5" t="s">
        <v>241</v>
      </c>
      <c r="L42" s="5"/>
      <c r="M42" s="5"/>
    </row>
    <row r="43" spans="1:13" x14ac:dyDescent="0.25">
      <c r="A43" s="5" t="s">
        <v>118</v>
      </c>
      <c r="B43" s="5" t="s">
        <v>119</v>
      </c>
      <c r="C43" s="5" t="s">
        <v>51</v>
      </c>
      <c r="D43" s="5" t="s">
        <v>33</v>
      </c>
      <c r="E43" s="5" t="s">
        <v>14</v>
      </c>
      <c r="F43" s="5" t="s">
        <v>220</v>
      </c>
      <c r="G43" s="5">
        <v>3500</v>
      </c>
      <c r="H43" s="5" t="s">
        <v>216</v>
      </c>
      <c r="I43" s="5">
        <v>1200</v>
      </c>
      <c r="J43" s="5">
        <f t="shared" si="3"/>
        <v>4700</v>
      </c>
      <c r="K43" s="5" t="s">
        <v>242</v>
      </c>
      <c r="L43" s="5"/>
      <c r="M43" s="5"/>
    </row>
    <row r="44" spans="1:13" ht="45" x14ac:dyDescent="0.25">
      <c r="A44" s="5" t="s">
        <v>120</v>
      </c>
      <c r="B44" s="5" t="s">
        <v>121</v>
      </c>
      <c r="C44" s="5" t="s">
        <v>12</v>
      </c>
      <c r="D44" s="5" t="s">
        <v>33</v>
      </c>
      <c r="E44" s="5" t="s">
        <v>14</v>
      </c>
      <c r="F44" s="5" t="s">
        <v>220</v>
      </c>
      <c r="G44" s="5" t="s">
        <v>243</v>
      </c>
      <c r="H44" s="5" t="s">
        <v>216</v>
      </c>
      <c r="I44" s="5">
        <v>2000</v>
      </c>
      <c r="J44" s="5">
        <f t="shared" si="3"/>
        <v>2000</v>
      </c>
      <c r="K44" s="5" t="s">
        <v>244</v>
      </c>
      <c r="L44" s="5"/>
      <c r="M44" s="5"/>
    </row>
    <row r="45" spans="1:13" ht="90" x14ac:dyDescent="0.25">
      <c r="A45" s="5" t="s">
        <v>219</v>
      </c>
      <c r="B45" s="5" t="s">
        <v>123</v>
      </c>
      <c r="C45" s="5" t="s">
        <v>12</v>
      </c>
      <c r="D45" s="5" t="s">
        <v>33</v>
      </c>
      <c r="E45" s="5" t="s">
        <v>14</v>
      </c>
      <c r="F45" s="5" t="s">
        <v>220</v>
      </c>
      <c r="G45" s="5">
        <v>2600</v>
      </c>
      <c r="H45" s="5" t="s">
        <v>216</v>
      </c>
      <c r="I45" s="5">
        <v>1500</v>
      </c>
      <c r="J45" s="5">
        <f t="shared" si="3"/>
        <v>4100</v>
      </c>
      <c r="K45" s="5" t="s">
        <v>245</v>
      </c>
      <c r="L45" s="5"/>
      <c r="M45" s="5"/>
    </row>
    <row r="46" spans="1:13" x14ac:dyDescent="0.25">
      <c r="A46" s="5" t="s">
        <v>122</v>
      </c>
      <c r="B46" s="5" t="s">
        <v>76</v>
      </c>
      <c r="C46" s="5" t="s">
        <v>12</v>
      </c>
      <c r="D46" s="5" t="s">
        <v>33</v>
      </c>
      <c r="E46" s="5" t="s">
        <v>14</v>
      </c>
      <c r="F46" s="5" t="s">
        <v>220</v>
      </c>
      <c r="G46" s="5">
        <v>4900</v>
      </c>
      <c r="H46" s="5" t="s">
        <v>216</v>
      </c>
      <c r="I46" s="5">
        <v>1500</v>
      </c>
      <c r="J46" s="5">
        <f t="shared" si="3"/>
        <v>6400</v>
      </c>
      <c r="K46" s="5" t="s">
        <v>224</v>
      </c>
      <c r="L46" s="5"/>
      <c r="M46" s="5"/>
    </row>
    <row r="47" spans="1:13" x14ac:dyDescent="0.25">
      <c r="A47" s="5" t="s">
        <v>124</v>
      </c>
      <c r="B47" s="5" t="s">
        <v>126</v>
      </c>
      <c r="C47" s="5" t="s">
        <v>12</v>
      </c>
      <c r="D47" s="5" t="s">
        <v>33</v>
      </c>
      <c r="E47" s="5" t="s">
        <v>14</v>
      </c>
      <c r="F47" s="5" t="s">
        <v>220</v>
      </c>
      <c r="G47" s="5">
        <v>4900</v>
      </c>
      <c r="H47" s="5" t="s">
        <v>216</v>
      </c>
      <c r="I47" s="5">
        <v>1500</v>
      </c>
      <c r="J47" s="5">
        <f t="shared" si="3"/>
        <v>6400</v>
      </c>
      <c r="K47" s="5" t="s">
        <v>224</v>
      </c>
      <c r="L47" s="5"/>
      <c r="M47" s="5"/>
    </row>
    <row r="48" spans="1:13" x14ac:dyDescent="0.25">
      <c r="A48" s="5" t="s">
        <v>125</v>
      </c>
      <c r="B48" s="5" t="s">
        <v>128</v>
      </c>
      <c r="C48" s="5" t="s">
        <v>12</v>
      </c>
      <c r="D48" s="5" t="s">
        <v>33</v>
      </c>
      <c r="E48" s="5" t="s">
        <v>14</v>
      </c>
      <c r="F48" s="5" t="s">
        <v>220</v>
      </c>
      <c r="G48" s="5">
        <v>4870</v>
      </c>
      <c r="H48" s="5" t="s">
        <v>216</v>
      </c>
      <c r="I48" s="5">
        <v>1500</v>
      </c>
      <c r="J48" s="5">
        <f t="shared" si="3"/>
        <v>6370</v>
      </c>
      <c r="K48" s="5" t="s">
        <v>224</v>
      </c>
      <c r="L48" s="5"/>
      <c r="M48" s="5"/>
    </row>
    <row r="49" spans="1:13" x14ac:dyDescent="0.25">
      <c r="A49" s="5" t="s">
        <v>127</v>
      </c>
      <c r="B49" s="5" t="s">
        <v>130</v>
      </c>
      <c r="C49" s="5" t="s">
        <v>12</v>
      </c>
      <c r="D49" s="5" t="s">
        <v>33</v>
      </c>
      <c r="E49" s="5" t="s">
        <v>14</v>
      </c>
      <c r="F49" s="5" t="s">
        <v>220</v>
      </c>
      <c r="G49" s="5">
        <v>2300</v>
      </c>
      <c r="H49" s="5" t="s">
        <v>216</v>
      </c>
      <c r="I49" s="5">
        <v>1000</v>
      </c>
      <c r="J49" s="5">
        <f t="shared" si="3"/>
        <v>3300</v>
      </c>
      <c r="K49" s="5" t="s">
        <v>226</v>
      </c>
      <c r="L49" s="5"/>
      <c r="M49" s="5"/>
    </row>
    <row r="50" spans="1:13" ht="60" x14ac:dyDescent="0.25">
      <c r="A50" s="5" t="s">
        <v>129</v>
      </c>
      <c r="B50" s="5" t="s">
        <v>132</v>
      </c>
      <c r="C50" s="5" t="s">
        <v>112</v>
      </c>
      <c r="D50" s="5" t="s">
        <v>17</v>
      </c>
      <c r="E50" s="5" t="s">
        <v>14</v>
      </c>
      <c r="F50" s="5" t="s">
        <v>220</v>
      </c>
      <c r="G50" s="5" t="s">
        <v>247</v>
      </c>
      <c r="H50" s="5" t="s">
        <v>216</v>
      </c>
      <c r="I50" s="5">
        <v>2000</v>
      </c>
      <c r="J50" s="5">
        <f t="shared" si="3"/>
        <v>2000</v>
      </c>
      <c r="K50" s="5" t="s">
        <v>248</v>
      </c>
      <c r="L50" s="5"/>
      <c r="M50" s="5"/>
    </row>
    <row r="51" spans="1:13" x14ac:dyDescent="0.25">
      <c r="A51" s="5" t="s">
        <v>131</v>
      </c>
      <c r="B51" s="5" t="s">
        <v>134</v>
      </c>
      <c r="C51" s="5" t="s">
        <v>112</v>
      </c>
      <c r="D51" s="5" t="s">
        <v>17</v>
      </c>
      <c r="E51" s="5" t="s">
        <v>14</v>
      </c>
      <c r="F51" s="5" t="s">
        <v>220</v>
      </c>
      <c r="G51" s="5">
        <v>8000</v>
      </c>
      <c r="H51" s="5" t="s">
        <v>216</v>
      </c>
      <c r="I51" s="5">
        <v>2000</v>
      </c>
      <c r="J51" s="5">
        <f t="shared" si="3"/>
        <v>10000</v>
      </c>
      <c r="K51" s="5" t="s">
        <v>249</v>
      </c>
      <c r="L51" s="5"/>
      <c r="M51" s="5"/>
    </row>
    <row r="52" spans="1:13" ht="30" x14ac:dyDescent="0.25">
      <c r="A52" s="5" t="s">
        <v>133</v>
      </c>
      <c r="B52" s="5" t="s">
        <v>136</v>
      </c>
      <c r="C52" s="5" t="s">
        <v>137</v>
      </c>
      <c r="D52" s="5" t="s">
        <v>17</v>
      </c>
      <c r="E52" s="5" t="s">
        <v>14</v>
      </c>
      <c r="F52" s="5" t="s">
        <v>220</v>
      </c>
      <c r="G52" s="5">
        <v>4600</v>
      </c>
      <c r="H52" s="5"/>
      <c r="I52" s="5">
        <v>1500</v>
      </c>
      <c r="J52" s="5">
        <f t="shared" si="3"/>
        <v>6100</v>
      </c>
      <c r="K52" s="5" t="s">
        <v>250</v>
      </c>
      <c r="L52" s="5"/>
      <c r="M52" s="5"/>
    </row>
    <row r="53" spans="1:13" x14ac:dyDescent="0.25">
      <c r="A53" s="5" t="s">
        <v>135</v>
      </c>
      <c r="B53" s="5" t="s">
        <v>136</v>
      </c>
      <c r="C53" s="5" t="s">
        <v>112</v>
      </c>
      <c r="D53" s="5" t="s">
        <v>17</v>
      </c>
      <c r="E53" s="5" t="s">
        <v>14</v>
      </c>
      <c r="F53" s="5" t="s">
        <v>220</v>
      </c>
      <c r="G53" s="5">
        <v>12300</v>
      </c>
      <c r="H53" s="5">
        <v>6839</v>
      </c>
      <c r="I53" s="5">
        <v>2800</v>
      </c>
      <c r="J53" s="5">
        <f t="shared" si="3"/>
        <v>21939</v>
      </c>
      <c r="K53" s="5" t="s">
        <v>249</v>
      </c>
      <c r="L53" s="5"/>
      <c r="M53" s="5"/>
    </row>
    <row r="54" spans="1:13" x14ac:dyDescent="0.25">
      <c r="A54" s="5" t="s">
        <v>138</v>
      </c>
      <c r="B54" s="5" t="s">
        <v>140</v>
      </c>
      <c r="C54" s="5" t="s">
        <v>112</v>
      </c>
      <c r="D54" s="5" t="s">
        <v>20</v>
      </c>
      <c r="E54" s="5" t="s">
        <v>14</v>
      </c>
      <c r="F54" s="5" t="s">
        <v>220</v>
      </c>
      <c r="G54" s="5">
        <v>7100</v>
      </c>
      <c r="H54" s="5">
        <v>6200</v>
      </c>
      <c r="I54" s="5">
        <v>3500</v>
      </c>
      <c r="J54" s="5">
        <f t="shared" si="3"/>
        <v>16800</v>
      </c>
      <c r="K54" s="5" t="s">
        <v>225</v>
      </c>
      <c r="L54" s="5"/>
      <c r="M54" s="5"/>
    </row>
    <row r="55" spans="1:13" x14ac:dyDescent="0.25">
      <c r="A55" s="5" t="s">
        <v>139</v>
      </c>
      <c r="B55" s="5" t="s">
        <v>142</v>
      </c>
      <c r="C55" s="5" t="s">
        <v>112</v>
      </c>
      <c r="D55" s="5" t="s">
        <v>17</v>
      </c>
      <c r="E55" s="5" t="s">
        <v>14</v>
      </c>
      <c r="F55" s="5" t="s">
        <v>220</v>
      </c>
      <c r="G55" s="5">
        <v>18800</v>
      </c>
      <c r="H55" s="5" t="s">
        <v>216</v>
      </c>
      <c r="I55" s="5">
        <v>2500</v>
      </c>
      <c r="J55" s="5">
        <f t="shared" si="3"/>
        <v>21300</v>
      </c>
      <c r="K55" s="5" t="s">
        <v>222</v>
      </c>
      <c r="L55" s="5"/>
      <c r="M55" s="5"/>
    </row>
    <row r="56" spans="1:13" x14ac:dyDescent="0.25">
      <c r="A56" s="5" t="s">
        <v>141</v>
      </c>
      <c r="B56" s="5" t="s">
        <v>144</v>
      </c>
      <c r="C56" s="5" t="s">
        <v>112</v>
      </c>
      <c r="D56" s="5" t="s">
        <v>17</v>
      </c>
      <c r="E56" s="5" t="s">
        <v>14</v>
      </c>
      <c r="F56" s="5" t="s">
        <v>220</v>
      </c>
      <c r="G56" s="5">
        <v>4500</v>
      </c>
      <c r="H56" s="5" t="s">
        <v>216</v>
      </c>
      <c r="I56" s="5">
        <v>2000</v>
      </c>
      <c r="J56" s="5">
        <f t="shared" si="3"/>
        <v>6500</v>
      </c>
      <c r="K56" s="5" t="s">
        <v>251</v>
      </c>
      <c r="L56" s="5"/>
      <c r="M56" s="5"/>
    </row>
    <row r="57" spans="1:13" x14ac:dyDescent="0.25">
      <c r="A57" s="5" t="s">
        <v>143</v>
      </c>
      <c r="B57" s="5" t="s">
        <v>146</v>
      </c>
      <c r="C57" s="5" t="s">
        <v>112</v>
      </c>
      <c r="D57" s="5" t="s">
        <v>17</v>
      </c>
      <c r="E57" s="5" t="s">
        <v>14</v>
      </c>
      <c r="F57" s="5" t="s">
        <v>220</v>
      </c>
      <c r="G57" s="5">
        <v>4900</v>
      </c>
      <c r="H57" s="5" t="s">
        <v>216</v>
      </c>
      <c r="I57" s="5">
        <v>2000</v>
      </c>
      <c r="J57" s="5">
        <f t="shared" si="3"/>
        <v>6900</v>
      </c>
      <c r="K57" s="5" t="s">
        <v>222</v>
      </c>
      <c r="L57" s="5" t="s">
        <v>252</v>
      </c>
      <c r="M57" s="5"/>
    </row>
    <row r="58" spans="1:13" x14ac:dyDescent="0.25">
      <c r="A58" s="5" t="s">
        <v>145</v>
      </c>
      <c r="B58" s="5" t="s">
        <v>148</v>
      </c>
      <c r="C58" s="5" t="s">
        <v>112</v>
      </c>
      <c r="D58" s="5" t="s">
        <v>149</v>
      </c>
      <c r="E58" s="5" t="s">
        <v>14</v>
      </c>
      <c r="F58" s="5" t="s">
        <v>220</v>
      </c>
      <c r="G58" s="5">
        <v>1300</v>
      </c>
      <c r="H58" s="5" t="s">
        <v>216</v>
      </c>
      <c r="I58" s="5">
        <v>850</v>
      </c>
      <c r="J58" s="5">
        <f t="shared" si="3"/>
        <v>2150</v>
      </c>
      <c r="K58" s="5" t="s">
        <v>253</v>
      </c>
      <c r="L58" s="5"/>
      <c r="M58" s="5"/>
    </row>
    <row r="59" spans="1:13" x14ac:dyDescent="0.25">
      <c r="A59" s="5" t="s">
        <v>147</v>
      </c>
      <c r="B59" s="5" t="s">
        <v>151</v>
      </c>
      <c r="C59" s="5" t="s">
        <v>255</v>
      </c>
      <c r="D59" s="5" t="s">
        <v>17</v>
      </c>
      <c r="E59" s="5" t="s">
        <v>14</v>
      </c>
      <c r="F59" s="5" t="s">
        <v>220</v>
      </c>
      <c r="G59" s="5">
        <v>5800</v>
      </c>
      <c r="H59" s="5" t="s">
        <v>216</v>
      </c>
      <c r="I59" s="5">
        <v>1500</v>
      </c>
      <c r="J59" s="5">
        <f t="shared" si="3"/>
        <v>7300</v>
      </c>
      <c r="K59" s="5" t="s">
        <v>254</v>
      </c>
      <c r="L59" s="5"/>
      <c r="M59" s="5"/>
    </row>
    <row r="60" spans="1:13" x14ac:dyDescent="0.25">
      <c r="A60" s="5" t="s">
        <v>150</v>
      </c>
      <c r="B60" s="5" t="s">
        <v>153</v>
      </c>
      <c r="C60" s="5" t="s">
        <v>154</v>
      </c>
      <c r="D60" s="5" t="s">
        <v>17</v>
      </c>
      <c r="E60" s="5" t="s">
        <v>14</v>
      </c>
      <c r="F60" s="5" t="s">
        <v>220</v>
      </c>
      <c r="G60" s="5">
        <v>2900</v>
      </c>
      <c r="H60" s="5" t="s">
        <v>216</v>
      </c>
      <c r="I60" s="5">
        <v>1500</v>
      </c>
      <c r="J60" s="5">
        <f t="shared" si="3"/>
        <v>4400</v>
      </c>
      <c r="K60" s="5" t="s">
        <v>256</v>
      </c>
      <c r="L60" s="5"/>
      <c r="M60" s="5"/>
    </row>
    <row r="61" spans="1:13" x14ac:dyDescent="0.25">
      <c r="A61" s="5" t="s">
        <v>152</v>
      </c>
      <c r="B61" s="5" t="s">
        <v>156</v>
      </c>
      <c r="C61" s="5" t="s">
        <v>154</v>
      </c>
      <c r="D61" s="5" t="s">
        <v>20</v>
      </c>
      <c r="E61" s="5" t="s">
        <v>14</v>
      </c>
      <c r="F61" s="5" t="s">
        <v>220</v>
      </c>
      <c r="G61" s="5">
        <v>6720</v>
      </c>
      <c r="H61" s="5" t="s">
        <v>216</v>
      </c>
      <c r="I61" s="5">
        <v>1500</v>
      </c>
      <c r="J61" s="5">
        <f t="shared" si="3"/>
        <v>8220</v>
      </c>
      <c r="K61" s="5" t="s">
        <v>257</v>
      </c>
      <c r="L61" s="5"/>
      <c r="M61" s="5"/>
    </row>
    <row r="62" spans="1:13" x14ac:dyDescent="0.25">
      <c r="A62" s="5" t="s">
        <v>155</v>
      </c>
      <c r="B62" s="5" t="s">
        <v>158</v>
      </c>
      <c r="C62" s="5" t="s">
        <v>112</v>
      </c>
      <c r="D62" s="5" t="s">
        <v>17</v>
      </c>
      <c r="E62" s="5" t="s">
        <v>14</v>
      </c>
      <c r="F62" s="5" t="s">
        <v>220</v>
      </c>
      <c r="G62" s="5">
        <v>9910</v>
      </c>
      <c r="H62" s="5" t="s">
        <v>258</v>
      </c>
      <c r="I62" s="5">
        <v>3000</v>
      </c>
      <c r="J62" s="5">
        <f t="shared" si="3"/>
        <v>12910</v>
      </c>
      <c r="K62" s="5" t="s">
        <v>222</v>
      </c>
      <c r="L62" s="5"/>
      <c r="M62" s="5"/>
    </row>
    <row r="63" spans="1:13" x14ac:dyDescent="0.25">
      <c r="A63" s="5" t="s">
        <v>157</v>
      </c>
      <c r="B63" s="5" t="s">
        <v>160</v>
      </c>
      <c r="C63" s="5" t="s">
        <v>112</v>
      </c>
      <c r="D63" s="5" t="s">
        <v>17</v>
      </c>
      <c r="E63" s="5" t="s">
        <v>14</v>
      </c>
      <c r="F63" s="5" t="s">
        <v>220</v>
      </c>
      <c r="G63" s="5">
        <v>9910</v>
      </c>
      <c r="H63" s="5" t="s">
        <v>258</v>
      </c>
      <c r="I63" s="5">
        <v>3000</v>
      </c>
      <c r="J63" s="5">
        <f t="shared" ref="J63:J70" si="5">SUM(G63:I63)</f>
        <v>12910</v>
      </c>
      <c r="K63" s="5" t="s">
        <v>222</v>
      </c>
      <c r="L63" s="5"/>
      <c r="M63" s="5"/>
    </row>
    <row r="64" spans="1:13" x14ac:dyDescent="0.25">
      <c r="A64" s="5" t="s">
        <v>159</v>
      </c>
      <c r="B64" s="5" t="s">
        <v>162</v>
      </c>
      <c r="C64" s="5" t="s">
        <v>112</v>
      </c>
      <c r="D64" s="5" t="s">
        <v>17</v>
      </c>
      <c r="E64" s="5" t="s">
        <v>14</v>
      </c>
      <c r="F64" s="5" t="s">
        <v>220</v>
      </c>
      <c r="G64" s="5">
        <v>9910</v>
      </c>
      <c r="H64" s="5" t="s">
        <v>258</v>
      </c>
      <c r="I64" s="5">
        <v>3000</v>
      </c>
      <c r="J64" s="5">
        <f t="shared" si="5"/>
        <v>12910</v>
      </c>
      <c r="K64" s="5" t="s">
        <v>222</v>
      </c>
      <c r="L64" s="5"/>
      <c r="M64" s="5"/>
    </row>
    <row r="65" spans="1:13" x14ac:dyDescent="0.25">
      <c r="A65" s="5" t="s">
        <v>161</v>
      </c>
      <c r="B65" s="5" t="s">
        <v>164</v>
      </c>
      <c r="C65" s="5" t="s">
        <v>112</v>
      </c>
      <c r="D65" s="5" t="s">
        <v>17</v>
      </c>
      <c r="E65" s="5" t="s">
        <v>14</v>
      </c>
      <c r="F65" s="5" t="s">
        <v>220</v>
      </c>
      <c r="G65" s="5">
        <v>9910</v>
      </c>
      <c r="H65" s="5" t="s">
        <v>258</v>
      </c>
      <c r="I65" s="5">
        <v>3000</v>
      </c>
      <c r="J65" s="5">
        <f t="shared" si="5"/>
        <v>12910</v>
      </c>
      <c r="K65" s="5" t="s">
        <v>222</v>
      </c>
      <c r="L65" s="5"/>
      <c r="M65" s="5"/>
    </row>
    <row r="66" spans="1:13" x14ac:dyDescent="0.25">
      <c r="A66" s="5" t="s">
        <v>163</v>
      </c>
      <c r="B66" s="5" t="s">
        <v>166</v>
      </c>
      <c r="C66" s="5" t="s">
        <v>112</v>
      </c>
      <c r="D66" s="5" t="s">
        <v>17</v>
      </c>
      <c r="E66" s="5" t="s">
        <v>14</v>
      </c>
      <c r="F66" s="5" t="s">
        <v>220</v>
      </c>
      <c r="G66" s="5">
        <v>9910</v>
      </c>
      <c r="H66" s="5" t="s">
        <v>258</v>
      </c>
      <c r="I66" s="5">
        <v>3000</v>
      </c>
      <c r="J66" s="5">
        <f t="shared" si="5"/>
        <v>12910</v>
      </c>
      <c r="K66" s="5" t="s">
        <v>222</v>
      </c>
      <c r="L66" s="5"/>
      <c r="M66" s="5"/>
    </row>
    <row r="67" spans="1:13" x14ac:dyDescent="0.25">
      <c r="A67" s="5" t="s">
        <v>165</v>
      </c>
      <c r="B67" s="5" t="s">
        <v>168</v>
      </c>
      <c r="C67" s="5" t="s">
        <v>112</v>
      </c>
      <c r="D67" s="5" t="s">
        <v>17</v>
      </c>
      <c r="E67" s="5" t="s">
        <v>14</v>
      </c>
      <c r="F67" s="5" t="s">
        <v>220</v>
      </c>
      <c r="G67" s="5">
        <v>9910</v>
      </c>
      <c r="H67" s="5" t="s">
        <v>258</v>
      </c>
      <c r="I67" s="5">
        <v>3000</v>
      </c>
      <c r="J67" s="5">
        <f t="shared" si="5"/>
        <v>12910</v>
      </c>
      <c r="K67" s="5" t="s">
        <v>222</v>
      </c>
      <c r="L67" s="5"/>
      <c r="M67" s="5"/>
    </row>
    <row r="68" spans="1:13" x14ac:dyDescent="0.25">
      <c r="A68" s="5" t="s">
        <v>167</v>
      </c>
      <c r="B68" s="5" t="s">
        <v>170</v>
      </c>
      <c r="C68" s="5" t="s">
        <v>112</v>
      </c>
      <c r="D68" s="5" t="s">
        <v>17</v>
      </c>
      <c r="E68" s="5" t="s">
        <v>14</v>
      </c>
      <c r="F68" s="5" t="s">
        <v>220</v>
      </c>
      <c r="G68" s="5">
        <v>9910</v>
      </c>
      <c r="H68" s="5" t="s">
        <v>258</v>
      </c>
      <c r="I68" s="5">
        <v>3000</v>
      </c>
      <c r="J68" s="5">
        <f t="shared" si="5"/>
        <v>12910</v>
      </c>
      <c r="K68" s="5" t="s">
        <v>222</v>
      </c>
      <c r="L68" s="5"/>
      <c r="M68" s="5"/>
    </row>
    <row r="69" spans="1:13" x14ac:dyDescent="0.25">
      <c r="A69" s="5" t="s">
        <v>169</v>
      </c>
      <c r="B69" s="5" t="s">
        <v>172</v>
      </c>
      <c r="C69" s="5" t="s">
        <v>112</v>
      </c>
      <c r="D69" s="5" t="s">
        <v>17</v>
      </c>
      <c r="E69" s="5" t="s">
        <v>14</v>
      </c>
      <c r="F69" s="5" t="s">
        <v>220</v>
      </c>
      <c r="G69" s="5">
        <v>9910</v>
      </c>
      <c r="H69" s="5" t="s">
        <v>258</v>
      </c>
      <c r="I69" s="5">
        <v>3000</v>
      </c>
      <c r="J69" s="5">
        <f t="shared" si="5"/>
        <v>12910</v>
      </c>
      <c r="K69" s="5" t="s">
        <v>222</v>
      </c>
      <c r="L69" s="5"/>
      <c r="M69" s="5"/>
    </row>
    <row r="70" spans="1:13" x14ac:dyDescent="0.25">
      <c r="A70" s="5" t="s">
        <v>171</v>
      </c>
      <c r="B70" s="5" t="s">
        <v>174</v>
      </c>
      <c r="C70" s="5" t="s">
        <v>112</v>
      </c>
      <c r="D70" s="5" t="s">
        <v>17</v>
      </c>
      <c r="E70" s="5" t="s">
        <v>14</v>
      </c>
      <c r="F70" s="5" t="s">
        <v>220</v>
      </c>
      <c r="G70" s="5">
        <v>9910</v>
      </c>
      <c r="H70" s="5" t="s">
        <v>258</v>
      </c>
      <c r="I70" s="5">
        <v>3000</v>
      </c>
      <c r="J70" s="5">
        <f t="shared" si="5"/>
        <v>12910</v>
      </c>
      <c r="K70" s="5" t="s">
        <v>222</v>
      </c>
      <c r="L70" s="5"/>
      <c r="M70" s="5"/>
    </row>
    <row r="71" spans="1:13" x14ac:dyDescent="0.25">
      <c r="A71" s="5" t="s">
        <v>173</v>
      </c>
      <c r="B71" s="5" t="s">
        <v>176</v>
      </c>
      <c r="C71" s="5" t="s">
        <v>112</v>
      </c>
      <c r="D71" s="5" t="s">
        <v>17</v>
      </c>
      <c r="E71" s="5" t="s">
        <v>14</v>
      </c>
      <c r="F71" s="5" t="s">
        <v>220</v>
      </c>
      <c r="G71" s="5">
        <v>12808</v>
      </c>
      <c r="H71" s="5" t="s">
        <v>258</v>
      </c>
      <c r="I71" s="5">
        <v>3000</v>
      </c>
      <c r="J71" s="5">
        <f t="shared" ref="J71:J101" si="6">SUM(G71:I71)</f>
        <v>15808</v>
      </c>
      <c r="K71" s="5" t="s">
        <v>222</v>
      </c>
      <c r="L71" s="5"/>
      <c r="M71" s="5"/>
    </row>
    <row r="72" spans="1:13" x14ac:dyDescent="0.25">
      <c r="A72" s="5" t="s">
        <v>175</v>
      </c>
      <c r="B72" s="5" t="s">
        <v>178</v>
      </c>
      <c r="C72" s="5" t="s">
        <v>112</v>
      </c>
      <c r="D72" s="5" t="s">
        <v>17</v>
      </c>
      <c r="E72" s="5" t="s">
        <v>14</v>
      </c>
      <c r="F72" s="5" t="s">
        <v>220</v>
      </c>
      <c r="G72" s="5">
        <v>9910</v>
      </c>
      <c r="H72" s="5" t="s">
        <v>258</v>
      </c>
      <c r="I72" s="5">
        <v>3000</v>
      </c>
      <c r="J72" s="5">
        <f t="shared" si="6"/>
        <v>12910</v>
      </c>
      <c r="K72" s="5" t="s">
        <v>222</v>
      </c>
      <c r="L72" s="5"/>
      <c r="M72" s="5"/>
    </row>
    <row r="73" spans="1:13" x14ac:dyDescent="0.25">
      <c r="A73" s="5" t="s">
        <v>177</v>
      </c>
      <c r="B73" s="5" t="s">
        <v>180</v>
      </c>
      <c r="C73" s="5" t="s">
        <v>181</v>
      </c>
      <c r="D73" s="5" t="s">
        <v>17</v>
      </c>
      <c r="E73" s="5" t="s">
        <v>14</v>
      </c>
      <c r="F73" s="5" t="s">
        <v>220</v>
      </c>
      <c r="G73" s="5" t="s">
        <v>259</v>
      </c>
      <c r="H73" s="5" t="s">
        <v>258</v>
      </c>
      <c r="I73" s="5">
        <v>3000</v>
      </c>
      <c r="J73" s="5">
        <f t="shared" si="6"/>
        <v>3000</v>
      </c>
      <c r="K73" s="5" t="s">
        <v>260</v>
      </c>
      <c r="L73" s="5"/>
      <c r="M73" s="5"/>
    </row>
    <row r="74" spans="1:13" x14ac:dyDescent="0.25">
      <c r="A74" s="5" t="s">
        <v>179</v>
      </c>
      <c r="B74" s="5" t="s">
        <v>261</v>
      </c>
      <c r="C74" s="5" t="s">
        <v>280</v>
      </c>
      <c r="D74" s="5" t="s">
        <v>17</v>
      </c>
      <c r="E74" s="5" t="s">
        <v>14</v>
      </c>
      <c r="F74" s="5" t="s">
        <v>220</v>
      </c>
      <c r="G74" s="5">
        <v>9910</v>
      </c>
      <c r="H74" s="5" t="s">
        <v>258</v>
      </c>
      <c r="I74" s="5">
        <v>3000</v>
      </c>
      <c r="J74" s="5">
        <f t="shared" ref="J74" si="7">SUM(G74:I74)</f>
        <v>12910</v>
      </c>
      <c r="K74" s="5" t="s">
        <v>222</v>
      </c>
      <c r="L74" s="5"/>
      <c r="M74" s="5"/>
    </row>
    <row r="75" spans="1:13" x14ac:dyDescent="0.25">
      <c r="A75" s="5" t="s">
        <v>182</v>
      </c>
      <c r="B75" s="5" t="s">
        <v>262</v>
      </c>
      <c r="C75" s="5" t="s">
        <v>280</v>
      </c>
      <c r="D75" s="5" t="s">
        <v>17</v>
      </c>
      <c r="E75" s="5" t="s">
        <v>14</v>
      </c>
      <c r="F75" s="5" t="s">
        <v>220</v>
      </c>
      <c r="G75" s="5">
        <v>9910</v>
      </c>
      <c r="H75" s="5" t="s">
        <v>258</v>
      </c>
      <c r="I75" s="5">
        <v>3000</v>
      </c>
      <c r="J75" s="5">
        <f t="shared" ref="J75:J92" si="8">SUM(G75:I75)</f>
        <v>12910</v>
      </c>
      <c r="K75" s="5" t="s">
        <v>222</v>
      </c>
      <c r="L75" s="5"/>
      <c r="M75" s="5"/>
    </row>
    <row r="76" spans="1:13" x14ac:dyDescent="0.25">
      <c r="A76" s="5" t="s">
        <v>184</v>
      </c>
      <c r="B76" s="5" t="s">
        <v>263</v>
      </c>
      <c r="C76" s="5" t="s">
        <v>280</v>
      </c>
      <c r="D76" s="5" t="s">
        <v>17</v>
      </c>
      <c r="E76" s="5" t="s">
        <v>14</v>
      </c>
      <c r="F76" s="5" t="s">
        <v>220</v>
      </c>
      <c r="G76" s="5">
        <v>9910</v>
      </c>
      <c r="H76" s="5" t="s">
        <v>258</v>
      </c>
      <c r="I76" s="5">
        <v>3000</v>
      </c>
      <c r="J76" s="5">
        <f t="shared" si="8"/>
        <v>12910</v>
      </c>
      <c r="K76" s="5" t="s">
        <v>222</v>
      </c>
      <c r="L76" s="5"/>
      <c r="M76" s="5"/>
    </row>
    <row r="77" spans="1:13" x14ac:dyDescent="0.25">
      <c r="A77" s="5" t="s">
        <v>186</v>
      </c>
      <c r="B77" s="5" t="s">
        <v>264</v>
      </c>
      <c r="C77" s="5" t="s">
        <v>280</v>
      </c>
      <c r="D77" s="5" t="s">
        <v>17</v>
      </c>
      <c r="E77" s="5" t="s">
        <v>14</v>
      </c>
      <c r="F77" s="5" t="s">
        <v>220</v>
      </c>
      <c r="G77" s="5">
        <v>9910</v>
      </c>
      <c r="H77" s="5" t="s">
        <v>258</v>
      </c>
      <c r="I77" s="5">
        <v>3000</v>
      </c>
      <c r="J77" s="5">
        <f t="shared" si="8"/>
        <v>12910</v>
      </c>
      <c r="K77" s="5" t="s">
        <v>222</v>
      </c>
      <c r="L77" s="5"/>
      <c r="M77" s="5"/>
    </row>
    <row r="78" spans="1:13" x14ac:dyDescent="0.25">
      <c r="A78" s="5" t="s">
        <v>188</v>
      </c>
      <c r="B78" s="5" t="s">
        <v>265</v>
      </c>
      <c r="C78" s="5" t="s">
        <v>280</v>
      </c>
      <c r="D78" s="5" t="s">
        <v>17</v>
      </c>
      <c r="E78" s="5" t="s">
        <v>14</v>
      </c>
      <c r="F78" s="5" t="s">
        <v>220</v>
      </c>
      <c r="G78" s="5">
        <v>9910</v>
      </c>
      <c r="H78" s="5" t="s">
        <v>258</v>
      </c>
      <c r="I78" s="5">
        <v>3000</v>
      </c>
      <c r="J78" s="5">
        <f t="shared" si="8"/>
        <v>12910</v>
      </c>
      <c r="K78" s="5" t="s">
        <v>222</v>
      </c>
      <c r="L78" s="5"/>
      <c r="M78" s="5"/>
    </row>
    <row r="79" spans="1:13" x14ac:dyDescent="0.25">
      <c r="A79" s="5" t="s">
        <v>190</v>
      </c>
      <c r="B79" s="5" t="s">
        <v>266</v>
      </c>
      <c r="C79" s="5" t="s">
        <v>280</v>
      </c>
      <c r="D79" s="5" t="s">
        <v>17</v>
      </c>
      <c r="E79" s="5" t="s">
        <v>14</v>
      </c>
      <c r="F79" s="5" t="s">
        <v>220</v>
      </c>
      <c r="G79" s="5">
        <v>9910</v>
      </c>
      <c r="H79" s="5" t="s">
        <v>258</v>
      </c>
      <c r="I79" s="5">
        <v>3000</v>
      </c>
      <c r="J79" s="5">
        <f t="shared" si="8"/>
        <v>12910</v>
      </c>
      <c r="K79" s="5" t="s">
        <v>222</v>
      </c>
      <c r="L79" s="5"/>
      <c r="M79" s="5"/>
    </row>
    <row r="80" spans="1:13" x14ac:dyDescent="0.25">
      <c r="A80" s="5" t="s">
        <v>192</v>
      </c>
      <c r="B80" s="5" t="s">
        <v>267</v>
      </c>
      <c r="C80" s="5" t="s">
        <v>280</v>
      </c>
      <c r="D80" s="5" t="s">
        <v>17</v>
      </c>
      <c r="E80" s="5" t="s">
        <v>14</v>
      </c>
      <c r="F80" s="5" t="s">
        <v>220</v>
      </c>
      <c r="G80" s="5">
        <v>9910</v>
      </c>
      <c r="H80" s="5" t="s">
        <v>258</v>
      </c>
      <c r="I80" s="5">
        <v>3000</v>
      </c>
      <c r="J80" s="5">
        <f t="shared" si="8"/>
        <v>12910</v>
      </c>
      <c r="K80" s="5" t="s">
        <v>222</v>
      </c>
      <c r="L80" s="5"/>
      <c r="M80" s="5"/>
    </row>
    <row r="81" spans="1:13" x14ac:dyDescent="0.25">
      <c r="A81" s="5" t="s">
        <v>194</v>
      </c>
      <c r="B81" s="5" t="s">
        <v>268</v>
      </c>
      <c r="C81" s="5" t="s">
        <v>280</v>
      </c>
      <c r="D81" s="5" t="s">
        <v>17</v>
      </c>
      <c r="E81" s="5" t="s">
        <v>14</v>
      </c>
      <c r="F81" s="5" t="s">
        <v>220</v>
      </c>
      <c r="G81" s="5">
        <v>9910</v>
      </c>
      <c r="H81" s="5" t="s">
        <v>258</v>
      </c>
      <c r="I81" s="5">
        <v>3000</v>
      </c>
      <c r="J81" s="5">
        <f t="shared" si="8"/>
        <v>12910</v>
      </c>
      <c r="K81" s="5" t="s">
        <v>222</v>
      </c>
      <c r="L81" s="5"/>
      <c r="M81" s="5"/>
    </row>
    <row r="82" spans="1:13" x14ac:dyDescent="0.25">
      <c r="A82" s="5" t="s">
        <v>196</v>
      </c>
      <c r="B82" s="5" t="s">
        <v>270</v>
      </c>
      <c r="C82" s="5" t="s">
        <v>280</v>
      </c>
      <c r="D82" s="5" t="s">
        <v>17</v>
      </c>
      <c r="E82" s="5" t="s">
        <v>14</v>
      </c>
      <c r="F82" s="5" t="s">
        <v>220</v>
      </c>
      <c r="G82" s="5">
        <v>9910</v>
      </c>
      <c r="H82" s="5" t="s">
        <v>258</v>
      </c>
      <c r="I82" s="5">
        <v>3000</v>
      </c>
      <c r="J82" s="5">
        <f t="shared" si="8"/>
        <v>12910</v>
      </c>
      <c r="K82" s="5" t="s">
        <v>222</v>
      </c>
      <c r="L82" s="5"/>
      <c r="M82" s="5"/>
    </row>
    <row r="83" spans="1:13" x14ac:dyDescent="0.25">
      <c r="A83" s="5" t="s">
        <v>286</v>
      </c>
      <c r="B83" s="5" t="s">
        <v>269</v>
      </c>
      <c r="C83" s="5" t="s">
        <v>280</v>
      </c>
      <c r="D83" s="5" t="s">
        <v>17</v>
      </c>
      <c r="E83" s="5" t="s">
        <v>14</v>
      </c>
      <c r="F83" s="5" t="s">
        <v>220</v>
      </c>
      <c r="G83" s="5">
        <v>9910</v>
      </c>
      <c r="H83" s="5" t="s">
        <v>258</v>
      </c>
      <c r="I83" s="5">
        <v>3000</v>
      </c>
      <c r="J83" s="5">
        <f t="shared" si="8"/>
        <v>12910</v>
      </c>
      <c r="K83" s="5" t="s">
        <v>222</v>
      </c>
      <c r="L83" s="5"/>
      <c r="M83" s="5"/>
    </row>
    <row r="84" spans="1:13" x14ac:dyDescent="0.25">
      <c r="A84" s="5" t="s">
        <v>287</v>
      </c>
      <c r="B84" s="5" t="s">
        <v>271</v>
      </c>
      <c r="C84" s="5" t="s">
        <v>280</v>
      </c>
      <c r="D84" s="5" t="s">
        <v>17</v>
      </c>
      <c r="E84" s="5" t="s">
        <v>14</v>
      </c>
      <c r="F84" s="5" t="s">
        <v>220</v>
      </c>
      <c r="G84" s="5">
        <v>9910</v>
      </c>
      <c r="H84" s="5" t="s">
        <v>258</v>
      </c>
      <c r="I84" s="5">
        <v>3000</v>
      </c>
      <c r="J84" s="5">
        <f t="shared" si="8"/>
        <v>12910</v>
      </c>
      <c r="K84" s="5" t="s">
        <v>222</v>
      </c>
      <c r="L84" s="5"/>
      <c r="M84" s="5"/>
    </row>
    <row r="85" spans="1:13" x14ac:dyDescent="0.25">
      <c r="A85" s="5" t="s">
        <v>288</v>
      </c>
      <c r="B85" s="5" t="s">
        <v>272</v>
      </c>
      <c r="C85" s="5" t="s">
        <v>280</v>
      </c>
      <c r="D85" s="5" t="s">
        <v>17</v>
      </c>
      <c r="E85" s="5" t="s">
        <v>14</v>
      </c>
      <c r="F85" s="5" t="s">
        <v>220</v>
      </c>
      <c r="G85" s="5">
        <v>9910</v>
      </c>
      <c r="H85" s="5" t="s">
        <v>258</v>
      </c>
      <c r="I85" s="5">
        <v>3000</v>
      </c>
      <c r="J85" s="5">
        <f t="shared" si="8"/>
        <v>12910</v>
      </c>
      <c r="K85" s="5" t="s">
        <v>222</v>
      </c>
      <c r="L85" s="5"/>
      <c r="M85" s="5"/>
    </row>
    <row r="86" spans="1:13" x14ac:dyDescent="0.25">
      <c r="A86" s="5" t="s">
        <v>289</v>
      </c>
      <c r="B86" s="5" t="s">
        <v>273</v>
      </c>
      <c r="C86" s="5" t="s">
        <v>280</v>
      </c>
      <c r="D86" s="5" t="s">
        <v>17</v>
      </c>
      <c r="E86" s="5" t="s">
        <v>14</v>
      </c>
      <c r="F86" s="5" t="s">
        <v>220</v>
      </c>
      <c r="G86" s="5">
        <v>9910</v>
      </c>
      <c r="H86" s="5" t="s">
        <v>258</v>
      </c>
      <c r="I86" s="5">
        <v>3000</v>
      </c>
      <c r="J86" s="5">
        <f t="shared" si="8"/>
        <v>12910</v>
      </c>
      <c r="K86" s="5" t="s">
        <v>222</v>
      </c>
      <c r="L86" s="5"/>
      <c r="M86" s="5"/>
    </row>
    <row r="87" spans="1:13" x14ac:dyDescent="0.25">
      <c r="A87" s="5" t="s">
        <v>290</v>
      </c>
      <c r="B87" s="5" t="s">
        <v>274</v>
      </c>
      <c r="C87" s="5" t="s">
        <v>280</v>
      </c>
      <c r="D87" s="5" t="s">
        <v>17</v>
      </c>
      <c r="E87" s="5" t="s">
        <v>14</v>
      </c>
      <c r="F87" s="5" t="s">
        <v>220</v>
      </c>
      <c r="G87" s="5">
        <v>9910</v>
      </c>
      <c r="H87" s="5" t="s">
        <v>258</v>
      </c>
      <c r="I87" s="5">
        <v>3000</v>
      </c>
      <c r="J87" s="5">
        <f t="shared" si="8"/>
        <v>12910</v>
      </c>
      <c r="K87" s="5" t="s">
        <v>222</v>
      </c>
      <c r="L87" s="5"/>
      <c r="M87" s="5"/>
    </row>
    <row r="88" spans="1:13" x14ac:dyDescent="0.25">
      <c r="A88" s="5" t="s">
        <v>291</v>
      </c>
      <c r="B88" s="5" t="s">
        <v>275</v>
      </c>
      <c r="C88" s="5" t="s">
        <v>280</v>
      </c>
      <c r="D88" s="5" t="s">
        <v>17</v>
      </c>
      <c r="E88" s="5" t="s">
        <v>14</v>
      </c>
      <c r="F88" s="5" t="s">
        <v>220</v>
      </c>
      <c r="G88" s="5">
        <v>9910</v>
      </c>
      <c r="H88" s="5" t="s">
        <v>258</v>
      </c>
      <c r="I88" s="5">
        <v>3000</v>
      </c>
      <c r="J88" s="5">
        <f t="shared" si="8"/>
        <v>12910</v>
      </c>
      <c r="K88" s="5" t="s">
        <v>222</v>
      </c>
      <c r="L88" s="5"/>
      <c r="M88" s="5"/>
    </row>
    <row r="89" spans="1:13" x14ac:dyDescent="0.25">
      <c r="A89" s="5" t="s">
        <v>292</v>
      </c>
      <c r="B89" s="5" t="s">
        <v>276</v>
      </c>
      <c r="C89" s="5" t="s">
        <v>280</v>
      </c>
      <c r="D89" s="5" t="s">
        <v>17</v>
      </c>
      <c r="E89" s="5" t="s">
        <v>14</v>
      </c>
      <c r="F89" s="5" t="s">
        <v>220</v>
      </c>
      <c r="G89" s="5">
        <v>9910</v>
      </c>
      <c r="H89" s="5" t="s">
        <v>258</v>
      </c>
      <c r="I89" s="5">
        <v>3000</v>
      </c>
      <c r="J89" s="5">
        <f t="shared" si="8"/>
        <v>12910</v>
      </c>
      <c r="K89" s="5" t="s">
        <v>222</v>
      </c>
      <c r="L89" s="5"/>
      <c r="M89" s="5"/>
    </row>
    <row r="90" spans="1:13" x14ac:dyDescent="0.25">
      <c r="A90" s="5" t="s">
        <v>293</v>
      </c>
      <c r="B90" s="5" t="s">
        <v>277</v>
      </c>
      <c r="C90" s="5" t="s">
        <v>280</v>
      </c>
      <c r="D90" s="5" t="s">
        <v>17</v>
      </c>
      <c r="E90" s="5" t="s">
        <v>14</v>
      </c>
      <c r="F90" s="5" t="s">
        <v>220</v>
      </c>
      <c r="G90" s="5">
        <v>9910</v>
      </c>
      <c r="H90" s="5" t="s">
        <v>258</v>
      </c>
      <c r="I90" s="5">
        <v>3000</v>
      </c>
      <c r="J90" s="5">
        <f t="shared" si="8"/>
        <v>12910</v>
      </c>
      <c r="K90" s="5" t="s">
        <v>222</v>
      </c>
      <c r="L90" s="5"/>
      <c r="M90" s="5"/>
    </row>
    <row r="91" spans="1:13" x14ac:dyDescent="0.25">
      <c r="A91" s="5" t="s">
        <v>294</v>
      </c>
      <c r="B91" s="5" t="s">
        <v>278</v>
      </c>
      <c r="C91" s="5" t="s">
        <v>280</v>
      </c>
      <c r="D91" s="5" t="s">
        <v>17</v>
      </c>
      <c r="E91" s="5" t="s">
        <v>14</v>
      </c>
      <c r="F91" s="5" t="s">
        <v>220</v>
      </c>
      <c r="G91" s="5">
        <v>9910</v>
      </c>
      <c r="H91" s="5" t="s">
        <v>258</v>
      </c>
      <c r="I91" s="5">
        <v>3000</v>
      </c>
      <c r="J91" s="5">
        <f t="shared" si="8"/>
        <v>12910</v>
      </c>
      <c r="K91" s="5" t="s">
        <v>222</v>
      </c>
      <c r="L91" s="5"/>
      <c r="M91" s="5"/>
    </row>
    <row r="92" spans="1:13" x14ac:dyDescent="0.25">
      <c r="A92" s="5" t="s">
        <v>295</v>
      </c>
      <c r="B92" s="5" t="s">
        <v>279</v>
      </c>
      <c r="C92" s="5" t="s">
        <v>280</v>
      </c>
      <c r="D92" s="5" t="s">
        <v>17</v>
      </c>
      <c r="E92" s="5" t="s">
        <v>14</v>
      </c>
      <c r="F92" s="5" t="s">
        <v>220</v>
      </c>
      <c r="G92" s="5">
        <v>9910</v>
      </c>
      <c r="H92" s="5" t="s">
        <v>258</v>
      </c>
      <c r="I92" s="5">
        <v>3000</v>
      </c>
      <c r="J92" s="5">
        <f t="shared" si="8"/>
        <v>12910</v>
      </c>
      <c r="K92" s="5" t="s">
        <v>222</v>
      </c>
      <c r="L92" s="5"/>
      <c r="M92" s="5"/>
    </row>
    <row r="93" spans="1:13" x14ac:dyDescent="0.25">
      <c r="A93" s="5" t="s">
        <v>296</v>
      </c>
      <c r="B93" s="5" t="s">
        <v>183</v>
      </c>
      <c r="C93" s="5" t="s">
        <v>112</v>
      </c>
      <c r="D93" s="5" t="s">
        <v>17</v>
      </c>
      <c r="E93" s="5" t="s">
        <v>14</v>
      </c>
      <c r="F93" s="5" t="s">
        <v>220</v>
      </c>
      <c r="G93" s="5">
        <v>2900</v>
      </c>
      <c r="H93" s="5" t="s">
        <v>216</v>
      </c>
      <c r="I93" s="5">
        <v>1800</v>
      </c>
      <c r="J93" s="5">
        <f t="shared" si="6"/>
        <v>4700</v>
      </c>
      <c r="K93" s="5" t="s">
        <v>222</v>
      </c>
      <c r="L93" s="5"/>
      <c r="M93" s="5"/>
    </row>
    <row r="94" spans="1:13" ht="45" x14ac:dyDescent="0.25">
      <c r="A94" s="5" t="s">
        <v>297</v>
      </c>
      <c r="B94" s="5" t="s">
        <v>185</v>
      </c>
      <c r="C94" s="5" t="s">
        <v>12</v>
      </c>
      <c r="D94" s="5" t="s">
        <v>17</v>
      </c>
      <c r="E94" s="5" t="s">
        <v>14</v>
      </c>
      <c r="F94" s="5" t="s">
        <v>220</v>
      </c>
      <c r="G94" s="5" t="s">
        <v>281</v>
      </c>
      <c r="H94" s="5" t="s">
        <v>216</v>
      </c>
      <c r="I94" s="5">
        <v>2500</v>
      </c>
      <c r="J94" s="5">
        <f t="shared" si="6"/>
        <v>2500</v>
      </c>
      <c r="K94" s="5" t="s">
        <v>238</v>
      </c>
      <c r="L94" s="5"/>
      <c r="M94" s="5"/>
    </row>
    <row r="95" spans="1:13" x14ac:dyDescent="0.25">
      <c r="A95" s="5" t="s">
        <v>298</v>
      </c>
      <c r="B95" s="5" t="s">
        <v>187</v>
      </c>
      <c r="C95" s="5" t="s">
        <v>112</v>
      </c>
      <c r="D95" s="5" t="s">
        <v>17</v>
      </c>
      <c r="E95" s="5" t="s">
        <v>14</v>
      </c>
      <c r="F95" s="5" t="s">
        <v>220</v>
      </c>
      <c r="G95" s="5">
        <v>5100</v>
      </c>
      <c r="H95" s="5" t="s">
        <v>284</v>
      </c>
      <c r="I95" s="5">
        <v>2000</v>
      </c>
      <c r="J95" s="5">
        <f t="shared" si="6"/>
        <v>7100</v>
      </c>
      <c r="K95" s="5" t="s">
        <v>241</v>
      </c>
      <c r="L95" s="5"/>
      <c r="M95" s="5"/>
    </row>
    <row r="96" spans="1:13" x14ac:dyDescent="0.25">
      <c r="A96" s="5" t="s">
        <v>299</v>
      </c>
      <c r="B96" s="5" t="s">
        <v>187</v>
      </c>
      <c r="C96" s="5" t="s">
        <v>189</v>
      </c>
      <c r="D96" s="5" t="s">
        <v>149</v>
      </c>
      <c r="E96" s="5" t="s">
        <v>14</v>
      </c>
      <c r="F96" s="5" t="s">
        <v>220</v>
      </c>
      <c r="G96" s="5">
        <v>4400</v>
      </c>
      <c r="H96" s="5" t="s">
        <v>282</v>
      </c>
      <c r="I96" s="5">
        <v>2000</v>
      </c>
      <c r="J96" s="5">
        <f t="shared" si="6"/>
        <v>6400</v>
      </c>
      <c r="K96" s="5" t="s">
        <v>283</v>
      </c>
      <c r="L96" s="5"/>
      <c r="M96" s="5"/>
    </row>
    <row r="97" spans="1:13" x14ac:dyDescent="0.25">
      <c r="A97" s="5" t="s">
        <v>300</v>
      </c>
      <c r="B97" s="5" t="s">
        <v>191</v>
      </c>
      <c r="C97" s="5" t="s">
        <v>12</v>
      </c>
      <c r="D97" s="5" t="s">
        <v>17</v>
      </c>
      <c r="E97" s="5" t="s">
        <v>14</v>
      </c>
      <c r="F97" s="5" t="s">
        <v>220</v>
      </c>
      <c r="G97" s="5">
        <v>7800</v>
      </c>
      <c r="H97" s="5" t="s">
        <v>216</v>
      </c>
      <c r="I97" s="5">
        <v>1500</v>
      </c>
      <c r="J97" s="5">
        <f t="shared" si="6"/>
        <v>9300</v>
      </c>
      <c r="K97" s="5" t="s">
        <v>283</v>
      </c>
      <c r="L97" s="5"/>
      <c r="M97" s="5"/>
    </row>
    <row r="98" spans="1:13" ht="30" x14ac:dyDescent="0.25">
      <c r="A98" s="5" t="s">
        <v>301</v>
      </c>
      <c r="B98" s="5" t="s">
        <v>193</v>
      </c>
      <c r="C98" s="5" t="s">
        <v>12</v>
      </c>
      <c r="D98" s="5" t="s">
        <v>17</v>
      </c>
      <c r="E98" s="5" t="s">
        <v>14</v>
      </c>
      <c r="F98" s="5" t="s">
        <v>220</v>
      </c>
      <c r="G98" s="5">
        <v>25500</v>
      </c>
      <c r="H98" s="5" t="s">
        <v>285</v>
      </c>
      <c r="I98" s="5">
        <v>3000</v>
      </c>
      <c r="J98" s="5">
        <f t="shared" si="6"/>
        <v>28500</v>
      </c>
      <c r="K98" s="5" t="s">
        <v>222</v>
      </c>
      <c r="L98" s="5"/>
      <c r="M98" s="5"/>
    </row>
    <row r="99" spans="1:13" x14ac:dyDescent="0.25">
      <c r="A99" s="5" t="s">
        <v>302</v>
      </c>
      <c r="B99" s="5" t="s">
        <v>195</v>
      </c>
      <c r="C99" s="5" t="s">
        <v>154</v>
      </c>
      <c r="D99" s="5" t="s">
        <v>17</v>
      </c>
      <c r="E99" s="5" t="s">
        <v>14</v>
      </c>
      <c r="F99" s="5" t="s">
        <v>220</v>
      </c>
      <c r="G99" s="5">
        <v>5800</v>
      </c>
      <c r="H99" s="5" t="s">
        <v>216</v>
      </c>
      <c r="I99" s="5">
        <v>1800</v>
      </c>
      <c r="J99" s="5">
        <f t="shared" si="6"/>
        <v>7600</v>
      </c>
      <c r="K99" s="5" t="s">
        <v>218</v>
      </c>
      <c r="L99" s="5"/>
      <c r="M99" s="5"/>
    </row>
    <row r="100" spans="1:13" ht="30" x14ac:dyDescent="0.25">
      <c r="A100" s="5" t="s">
        <v>303</v>
      </c>
      <c r="B100" s="5" t="s">
        <v>197</v>
      </c>
      <c r="C100" s="5" t="s">
        <v>198</v>
      </c>
      <c r="D100" s="5" t="s">
        <v>17</v>
      </c>
      <c r="E100" s="5" t="s">
        <v>14</v>
      </c>
      <c r="F100" s="5" t="s">
        <v>220</v>
      </c>
      <c r="G100" s="5">
        <v>5800</v>
      </c>
      <c r="H100" s="5" t="s">
        <v>230</v>
      </c>
      <c r="I100" s="5">
        <v>1800</v>
      </c>
      <c r="J100" s="5">
        <f t="shared" si="6"/>
        <v>7600</v>
      </c>
      <c r="K100" s="5" t="s">
        <v>226</v>
      </c>
      <c r="L100" s="5"/>
      <c r="M100" s="5"/>
    </row>
    <row r="101" spans="1:13" x14ac:dyDescent="0.25">
      <c r="A101" s="5" t="s">
        <v>304</v>
      </c>
      <c r="B101" s="5" t="s">
        <v>199</v>
      </c>
      <c r="C101" s="5" t="s">
        <v>12</v>
      </c>
      <c r="D101" s="5" t="s">
        <v>17</v>
      </c>
      <c r="E101" s="5" t="s">
        <v>14</v>
      </c>
      <c r="F101" s="5" t="s">
        <v>220</v>
      </c>
      <c r="G101" s="5">
        <v>18000</v>
      </c>
      <c r="H101" s="5" t="s">
        <v>216</v>
      </c>
      <c r="I101" s="5">
        <v>2000</v>
      </c>
      <c r="J101" s="5">
        <f t="shared" si="6"/>
        <v>20000</v>
      </c>
      <c r="K101" s="5" t="s">
        <v>224</v>
      </c>
      <c r="L101" s="5"/>
      <c r="M101" s="5"/>
    </row>
    <row r="102" spans="1:13" x14ac:dyDescent="0.25">
      <c r="G102" s="5"/>
      <c r="H102" s="5"/>
      <c r="I102" s="5"/>
      <c r="J102" s="5"/>
      <c r="K102" s="5"/>
    </row>
  </sheetData>
  <phoneticPr fontId="4" type="noConversion"/>
  <pageMargins left="0.74803149606299213" right="0.74803149606299213" top="0.98425196850393704" bottom="0.98425196850393704" header="0.51181102362204722" footer="0.5118110236220472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4" sqref="B14"/>
    </sheetView>
  </sheetViews>
  <sheetFormatPr defaultRowHeight="15" x14ac:dyDescent="0.25"/>
  <cols>
    <col min="1" max="1" width="19.7109375" bestFit="1" customWidth="1"/>
    <col min="2" max="2" width="117.28515625" bestFit="1" customWidth="1"/>
  </cols>
  <sheetData>
    <row r="1" spans="1:2" x14ac:dyDescent="0.25">
      <c r="A1" s="1" t="s">
        <v>200</v>
      </c>
      <c r="B1" s="1" t="s">
        <v>201</v>
      </c>
    </row>
    <row r="2" spans="1:2" x14ac:dyDescent="0.25">
      <c r="A2" t="s">
        <v>202</v>
      </c>
      <c r="B2" t="s">
        <v>203</v>
      </c>
    </row>
    <row r="3" spans="1:2" x14ac:dyDescent="0.25">
      <c r="A3" t="s">
        <v>204</v>
      </c>
      <c r="B3" t="s">
        <v>205</v>
      </c>
    </row>
    <row r="4" spans="1:2" x14ac:dyDescent="0.25">
      <c r="A4" t="s">
        <v>206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212</v>
      </c>
      <c r="B7" t="s">
        <v>213</v>
      </c>
    </row>
    <row r="8" spans="1:2" x14ac:dyDescent="0.25">
      <c r="A8" t="s">
        <v>214</v>
      </c>
      <c r="B8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82 Country Master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Jaiswar</cp:lastModifiedBy>
  <cp:lastPrinted>2026-08-26T09:09:33Z</cp:lastPrinted>
  <dcterms:created xsi:type="dcterms:W3CDTF">2026-08-25T17:52:58Z</dcterms:created>
  <dcterms:modified xsi:type="dcterms:W3CDTF">2026-08-26T09:10:01Z</dcterms:modified>
</cp:coreProperties>
</file>